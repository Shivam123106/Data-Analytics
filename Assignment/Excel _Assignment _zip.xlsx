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AppData\Roaming\Microsoft\Windows\Network Shortcuts\"/>
    </mc:Choice>
  </mc:AlternateContent>
  <xr:revisionPtr revIDLastSave="0" documentId="8_{F9EA5434-6BDF-4454-A4F1-61833F444510}" xr6:coauthVersionLast="47" xr6:coauthVersionMax="47" xr10:uidLastSave="{00000000-0000-0000-0000-000000000000}"/>
  <bookViews>
    <workbookView xWindow="-120" yWindow="-120" windowWidth="20730" windowHeight="11040" firstSheet="21" activeTab="24" xr2:uid="{0CEC0916-A3EA-4C22-9B96-8FDFA5AD1030}"/>
  </bookViews>
  <sheets>
    <sheet name=" Average 1 - QUESTION-1" sheetId="1" r:id="rId1"/>
    <sheet name="Average 3 -Question -2 " sheetId="2" r:id="rId2"/>
    <sheet name="Count 1- Question-3" sheetId="3" r:id="rId3"/>
    <sheet name="Count  - Question-4" sheetId="4" r:id="rId4"/>
    <sheet name="Count 2 - Question -5" sheetId="5" r:id="rId5"/>
    <sheet name="Count 3- Question-6" sheetId="6" r:id="rId6"/>
    <sheet name="HLOOKUP-Question-7" sheetId="7" r:id="rId7"/>
    <sheet name="IF 1-Question-8" sheetId="8" r:id="rId8"/>
    <sheet name="IF 2,-Question-9" sheetId="9" r:id="rId9"/>
    <sheet name=" IF 3-Question-10,11" sheetId="10" r:id="rId10"/>
    <sheet name="IF 4-Question-12" sheetId="11" r:id="rId11"/>
    <sheet name="Math 1-Question-13" sheetId="12" r:id="rId12"/>
    <sheet name="MAX MIN 1-Question-14" sheetId="13" r:id="rId13"/>
    <sheet name="MAX MIN 2-Question-15" sheetId="14" r:id="rId14"/>
    <sheet name="MAX MIN 3-Question-16" sheetId="15" r:id="rId15"/>
    <sheet name=" Nested IF 1-Question-17" sheetId="16" r:id="rId16"/>
    <sheet name=" SUM 1-Question-18" sheetId="17" r:id="rId17"/>
    <sheet name="SUM 2,-Question-19" sheetId="18" r:id="rId18"/>
    <sheet name="  SUM 3-Question-20 &amp; 23" sheetId="19" r:id="rId19"/>
    <sheet name="SUMIF 1-Question-21" sheetId="20" r:id="rId20"/>
    <sheet name=" VLOOKUP APPROXIMATE MATCH -24" sheetId="21" r:id="rId21"/>
    <sheet name="VLOOKUP 1,-Que-25" sheetId="22" r:id="rId22"/>
    <sheet name=" VLOOKUP 2a-Qes-26" sheetId="23" r:id="rId23"/>
    <sheet name="Macros" sheetId="25" r:id="rId24"/>
    <sheet name="VBA" sheetId="26" r:id="rId25"/>
  </sheets>
  <definedNames>
    <definedName name="_xlnm.Print_Area" localSheetId="5">'Count 3- Question-6'!$A$4:$A$14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6" l="1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F19" i="26"/>
  <c r="F18" i="26"/>
  <c r="F17" i="26"/>
  <c r="F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H15" i="23"/>
  <c r="H13" i="23"/>
  <c r="F13" i="22"/>
  <c r="F11" i="22"/>
  <c r="B10" i="21"/>
  <c r="B9" i="21"/>
  <c r="N13" i="20"/>
  <c r="N11" i="20"/>
  <c r="N9" i="20"/>
  <c r="M7" i="20"/>
  <c r="M5" i="20"/>
  <c r="D4" i="20"/>
  <c r="D5" i="20"/>
  <c r="D6" i="20"/>
  <c r="D7" i="20"/>
  <c r="D8" i="20"/>
  <c r="D9" i="20"/>
  <c r="D10" i="20"/>
  <c r="D11" i="20"/>
  <c r="D2" i="20"/>
  <c r="D3" i="20"/>
  <c r="F11" i="19"/>
  <c r="F10" i="19"/>
  <c r="F9" i="19"/>
  <c r="D99" i="18"/>
  <c r="C19" i="17"/>
  <c r="D9" i="16"/>
  <c r="D10" i="16"/>
  <c r="D11" i="16"/>
  <c r="D8" i="16"/>
  <c r="C10" i="15"/>
  <c r="J15" i="13"/>
  <c r="J13" i="13"/>
  <c r="J11" i="13"/>
  <c r="A2" i="12"/>
  <c r="D9" i="10"/>
  <c r="D10" i="10"/>
  <c r="D11" i="10"/>
  <c r="D12" i="10"/>
  <c r="D8" i="10"/>
  <c r="E7" i="9"/>
  <c r="E8" i="9"/>
  <c r="E9" i="9"/>
  <c r="E6" i="9"/>
  <c r="C8" i="8"/>
  <c r="C9" i="8"/>
  <c r="C10" i="8"/>
  <c r="C7" i="8"/>
  <c r="B31" i="4"/>
  <c r="B27" i="4"/>
  <c r="B23" i="4"/>
  <c r="B19" i="4"/>
  <c r="B15" i="4"/>
  <c r="C17" i="3"/>
  <c r="C13" i="3"/>
</calcChain>
</file>

<file path=xl/sharedStrings.xml><?xml version="1.0" encoding="utf-8"?>
<sst xmlns="http://schemas.openxmlformats.org/spreadsheetml/2006/main" count="580" uniqueCount="372">
  <si>
    <t>Category</t>
  </si>
  <si>
    <t>Light Weight</t>
  </si>
  <si>
    <t>Medium Weight</t>
  </si>
  <si>
    <t>Heavy Weight</t>
  </si>
  <si>
    <t>Name</t>
  </si>
  <si>
    <t>Weight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</si>
  <si>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</si>
  <si>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</si>
  <si>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</si>
  <si>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</si>
  <si>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</si>
  <si>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</si>
  <si>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</si>
  <si>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</si>
  <si>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</si>
  <si>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Use Only Average Function For the following excercises</t>
  </si>
  <si>
    <t>1. Average Weight of "Light Weight" category</t>
  </si>
  <si>
    <t>2.Average Weight of "Medium Weight" category</t>
  </si>
  <si>
    <t>3. Average Weight of " Heavy Weight" category</t>
  </si>
  <si>
    <t>4. Average for all categories</t>
  </si>
  <si>
    <t>The Table below contains percipitation measurments as measured in the Rochester NY aera last year .</t>
  </si>
  <si>
    <t>We sample 3 days in each of the first three months of 2018: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</si>
  <si>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</si>
  <si>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</si>
  <si>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</si>
  <si>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</si>
  <si>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</si>
  <si>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</si>
  <si>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</si>
  <si>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</si>
  <si>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</si>
  <si>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MONTH</t>
  </si>
  <si>
    <t>SAMPLE</t>
  </si>
  <si>
    <t>RAINFALL(MM)</t>
  </si>
  <si>
    <t>What was the average precipitation for each month ?</t>
  </si>
  <si>
    <t>Now, calculate the average of the following numbers only with formulas SUM and COUNT (don't use Average form )</t>
  </si>
  <si>
    <t>What is the average of all of the samples?</t>
  </si>
  <si>
    <t>Now get the same result with Average function</t>
  </si>
  <si>
    <t>The table below shows survey responses, the respondents could use any value for their answers.</t>
  </si>
  <si>
    <t>How many times do you eat breakfast in a week?</t>
  </si>
  <si>
    <t>Name :</t>
  </si>
  <si>
    <t>Ravi</t>
  </si>
  <si>
    <t>Ajay</t>
  </si>
  <si>
    <t>Vijay</t>
  </si>
  <si>
    <t>Rocky</t>
  </si>
  <si>
    <t>Answer</t>
  </si>
  <si>
    <t>Solve by using COUNT and COUNTA formulas, and use only column B (Grey) to answer the questions:</t>
  </si>
  <si>
    <t>Question</t>
  </si>
  <si>
    <t>How many numerical (with numbers only ) responses are in the range?</t>
  </si>
  <si>
    <t>How many responses in total are in the range?</t>
  </si>
  <si>
    <t>Column B</t>
  </si>
  <si>
    <r>
      <rPr>
        <b/>
        <sz val="11"/>
        <color theme="1"/>
        <rFont val="Calibri"/>
        <family val="2"/>
        <scheme val="minor"/>
      </rPr>
      <t>sample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</t>
    </r>
  </si>
  <si>
    <t>Respondent id</t>
  </si>
  <si>
    <t>Answer 1</t>
  </si>
  <si>
    <t>Answer 2</t>
  </si>
  <si>
    <t>Answer 3</t>
  </si>
  <si>
    <t>No</t>
  </si>
  <si>
    <t>Yes</t>
  </si>
  <si>
    <t>Answer by using functions COUNT and COUNTA</t>
  </si>
  <si>
    <t>COUNT returns the number of cells with a number.</t>
  </si>
  <si>
    <t>answer 1</t>
  </si>
  <si>
    <t>Count numeric responses in answer 1</t>
  </si>
  <si>
    <t xml:space="preserve">Count all response in answer 1 </t>
  </si>
  <si>
    <t xml:space="preserve">Question </t>
  </si>
  <si>
    <t>Count numeric responses in answer 3</t>
  </si>
  <si>
    <t>Count all responses in answer 2</t>
  </si>
  <si>
    <t>Count total filled answers ( all columns)</t>
  </si>
  <si>
    <t>The following table represents a bank statement of ExcelMaster company. Column E shows the total dollar value amount of each of the accounts</t>
  </si>
  <si>
    <t>Currency</t>
  </si>
  <si>
    <r>
      <rPr>
        <b/>
        <sz val="11"/>
        <color theme="1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Number</t>
    </r>
  </si>
  <si>
    <t>Amount</t>
  </si>
  <si>
    <t>USD - United States</t>
  </si>
  <si>
    <t>E- United Kingdom</t>
  </si>
  <si>
    <t>Wine - japan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</si>
  <si>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</si>
  <si>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</si>
  <si>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</si>
  <si>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</si>
  <si>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</si>
  <si>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</si>
  <si>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</si>
  <si>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</si>
  <si>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</si>
  <si>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</si>
  <si>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</si>
  <si>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Error</t>
  </si>
  <si>
    <t xml:space="preserve">Answer </t>
  </si>
  <si>
    <t>How many numerical answer appear in column C- Amount?</t>
  </si>
  <si>
    <t>How many non-blank answers (numbers and letters ) appear in column C?</t>
  </si>
  <si>
    <t>Answer using the following range:</t>
  </si>
  <si>
    <t>Apple</t>
  </si>
  <si>
    <t>AAA</t>
  </si>
  <si>
    <t>Orange1234</t>
  </si>
  <si>
    <t>R</t>
  </si>
  <si>
    <t xml:space="preserve">                        #DIV/0!</t>
  </si>
  <si>
    <t>Solve by using formulas COUNT, COUNTA and COUNTBLANK:</t>
  </si>
  <si>
    <t>1.How many cells with a number value are in the grey range ( cells B3 to B13)?</t>
  </si>
  <si>
    <t>2.How many empty cells are in the grey range?</t>
  </si>
  <si>
    <t>3.How many non number cells are in the grey range?</t>
  </si>
  <si>
    <t>Date</t>
  </si>
  <si>
    <t>Department</t>
  </si>
  <si>
    <t>Salary</t>
  </si>
  <si>
    <t>Total Pay</t>
  </si>
  <si>
    <t>Anil</t>
  </si>
  <si>
    <t>Sunil</t>
  </si>
  <si>
    <t>Employee Name</t>
  </si>
  <si>
    <t>HR</t>
  </si>
  <si>
    <t>Marketing</t>
  </si>
  <si>
    <t>IT</t>
  </si>
  <si>
    <t>Finance</t>
  </si>
  <si>
    <t xml:space="preserve"> Bonus</t>
  </si>
  <si>
    <r>
      <rPr>
        <b/>
        <sz val="11"/>
        <color theme="1"/>
        <rFont val="Calibri"/>
        <family val="2"/>
        <scheme val="minor"/>
      </rPr>
      <t>Employee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</si>
  <si>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t>1. What is the department of employee with id 102?</t>
  </si>
  <si>
    <t>Enter function here: Marketing</t>
  </si>
  <si>
    <t>2. What is the salary of employee with ID 104?</t>
  </si>
  <si>
    <t>Enter function here : 70000</t>
  </si>
  <si>
    <t>3. What is the total pay of employee with ID 101?</t>
  </si>
  <si>
    <t>Enter function here: 57000</t>
  </si>
  <si>
    <t>Table A contains names and their respective grades for Excel 101 Course. Complete column C using only IF formula.</t>
  </si>
  <si>
    <t>Grade 50 or higher = PASS</t>
  </si>
  <si>
    <t>Grade less then 50 = FAIL</t>
  </si>
  <si>
    <t>NAME</t>
  </si>
  <si>
    <t>Grade</t>
  </si>
  <si>
    <t>Pass/Fail</t>
  </si>
  <si>
    <t>Sanjay</t>
  </si>
  <si>
    <t>Vinit</t>
  </si>
  <si>
    <t>Jay</t>
  </si>
  <si>
    <t>Jeet</t>
  </si>
  <si>
    <t>The following table is an extract from an accounting system that contains four journal entries</t>
  </si>
  <si>
    <t>Check if column A's cells match column B's cell. if they match - return "match", otherwise return "no match".</t>
  </si>
  <si>
    <t>Journal Entry 1</t>
  </si>
  <si>
    <t>Journal Entry 2</t>
  </si>
  <si>
    <t>Journal Entry 3</t>
  </si>
  <si>
    <t>Journal Entry 4</t>
  </si>
  <si>
    <t>Debit</t>
  </si>
  <si>
    <t>Credit</t>
  </si>
  <si>
    <t>Same value?</t>
  </si>
  <si>
    <t>The table below contains details of high school student’s names and ages,</t>
  </si>
  <si>
    <t>use IF formula to complete columns D and E.If the student's age is 16 or above, he/she is eligible for a driver's license. Check if they are eligible or not.</t>
  </si>
  <si>
    <t>2. If the student is younger than 18 years old he/she is a minor.check whether the student is a minor or not. For minor return " minor" and non minor = "Adult" answer in column E</t>
  </si>
  <si>
    <t>Number</t>
  </si>
  <si>
    <t>Age</t>
  </si>
  <si>
    <t>JAY</t>
  </si>
  <si>
    <t>VIKAS</t>
  </si>
  <si>
    <t>SONU</t>
  </si>
  <si>
    <t>ANIL</t>
  </si>
  <si>
    <t>AJAY</t>
  </si>
  <si>
    <t>Driver Licence</t>
  </si>
  <si>
    <t>Minor/Adult?</t>
  </si>
  <si>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</t>
    </r>
  </si>
  <si>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</t>
    </r>
  </si>
  <si>
    <t>no</t>
  </si>
  <si>
    <t>yes</t>
  </si>
  <si>
    <t>An A+ student gets 100% scholarship and non A+ gets 50% scholarship, the following table contains the names of students from 2024 class.</t>
  </si>
  <si>
    <t>A+</t>
  </si>
  <si>
    <t>A-</t>
  </si>
  <si>
    <t>GPA</t>
  </si>
  <si>
    <t>Tuition</t>
  </si>
  <si>
    <t>Scholarship</t>
  </si>
  <si>
    <t>Sam</t>
  </si>
  <si>
    <t>Rock</t>
  </si>
  <si>
    <t>Kitty</t>
  </si>
  <si>
    <t>Sany</t>
  </si>
  <si>
    <t>Kitu</t>
  </si>
  <si>
    <t>Use the following guidelines to calculate the statements given the file.</t>
  </si>
  <si>
    <t>+</t>
  </si>
  <si>
    <t>-</t>
  </si>
  <si>
    <t>/</t>
  </si>
  <si>
    <t>*</t>
  </si>
  <si>
    <t>%</t>
  </si>
  <si>
    <t>equals,use = sign before the formula to calculate a formula</t>
  </si>
  <si>
    <t>plus</t>
  </si>
  <si>
    <t>minus</t>
  </si>
  <si>
    <t>divide</t>
  </si>
  <si>
    <t>multiply</t>
  </si>
  <si>
    <t>percentage sign (will divide the number by 100 if added after a value)</t>
  </si>
  <si>
    <t>Arithmertics</t>
  </si>
  <si>
    <t>times</t>
  </si>
  <si>
    <t>divided by</t>
  </si>
  <si>
    <t>Percentages using division of numbers</t>
  </si>
  <si>
    <t>out of</t>
  </si>
  <si>
    <t>Stock</t>
  </si>
  <si>
    <t>Price 2015</t>
  </si>
  <si>
    <t>price 2016</t>
  </si>
  <si>
    <t>Year over year %change</t>
  </si>
  <si>
    <t xml:space="preserve"> </t>
  </si>
  <si>
    <t>Stock A</t>
  </si>
  <si>
    <t>Stock B</t>
  </si>
  <si>
    <t>Use max, min and average formulas to answer all the following questions given in the file.</t>
  </si>
  <si>
    <t>Sumo wrestlers contest - Names and Weights</t>
  </si>
  <si>
    <t>Greenko</t>
  </si>
  <si>
    <t>Dinamito</t>
  </si>
  <si>
    <t>Shlomtzi</t>
  </si>
  <si>
    <t>Solomoto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</si>
  <si>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</si>
  <si>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</si>
  <si>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</si>
  <si>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</t>
  </si>
  <si>
    <t>If a student fails at least one test - she or he needs to retake the course.</t>
  </si>
  <si>
    <t>. Use IF and MAX/MIN to check if a student passed the test.</t>
  </si>
  <si>
    <t>Test1</t>
  </si>
  <si>
    <t>Test2</t>
  </si>
  <si>
    <t>Test3</t>
  </si>
  <si>
    <t>Result</t>
  </si>
  <si>
    <t>Pass</t>
  </si>
  <si>
    <t>Fail</t>
  </si>
  <si>
    <t>IF at least one student got 99 points or more in a test - the test considered easy, Use MAX and IF to create a logic that checks if the test was "Easy" or not.</t>
  </si>
  <si>
    <t>Test 1</t>
  </si>
  <si>
    <t>The school decided to use the following grade system:</t>
  </si>
  <si>
    <t>a.Grade higher or equal to 80 - Excellent</t>
  </si>
  <si>
    <t>b.Grade higher or equal to 60 but lower than 80 - Good</t>
  </si>
  <si>
    <t>c.Grade lower than 60- Failed</t>
  </si>
  <si>
    <t xml:space="preserve">John </t>
  </si>
  <si>
    <t>Rony</t>
  </si>
  <si>
    <t>Tinnu</t>
  </si>
  <si>
    <t>Akki</t>
  </si>
  <si>
    <t>Failed/Good/Excellent</t>
  </si>
  <si>
    <r>
      <rPr>
        <b/>
        <sz val="11"/>
        <color theme="1"/>
        <rFont val="Calibri"/>
        <family val="2"/>
        <scheme val="minor"/>
      </rPr>
      <t>Student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</si>
  <si>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t>The following table includes ABC company's revenue by month.</t>
  </si>
  <si>
    <t>The company's CFO asked you to use SUM formula to calculate the total revenue for the 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</si>
  <si>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</si>
  <si>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</si>
  <si>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</si>
  <si>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</si>
  <si>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</si>
  <si>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</si>
  <si>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</si>
  <si>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</si>
  <si>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</si>
  <si>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</si>
  <si>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</si>
  <si>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</si>
  <si>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</si>
  <si>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</si>
  <si>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r>
      <rPr>
        <b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$MM</t>
    </r>
  </si>
  <si>
    <t>The following table represents daily costs by</t>
  </si>
  <si>
    <t>by day for the first quarter of 2015</t>
  </si>
  <si>
    <t>Calculate the total costs at the bottom of the table. Hint: to save times. Use sum shortcuts.</t>
  </si>
  <si>
    <t>Day</t>
  </si>
  <si>
    <t>Cost</t>
  </si>
  <si>
    <t>Total</t>
  </si>
  <si>
    <t>Thursday</t>
  </si>
  <si>
    <t>Friday</t>
  </si>
  <si>
    <t>Saturday</t>
  </si>
  <si>
    <t>Sunday</t>
  </si>
  <si>
    <t>Monday</t>
  </si>
  <si>
    <t>Tuesday</t>
  </si>
  <si>
    <t>Wednesday</t>
  </si>
  <si>
    <t>Find the number of residents for each of the following groups from the table below</t>
  </si>
  <si>
    <t>Group</t>
  </si>
  <si>
    <t>Residents</t>
  </si>
  <si>
    <t>Kids</t>
  </si>
  <si>
    <t>Adults</t>
  </si>
  <si>
    <t>Seniors</t>
  </si>
  <si>
    <t>J</t>
  </si>
  <si>
    <t>Total Residents</t>
  </si>
  <si>
    <t>Balance</t>
  </si>
  <si>
    <r>
      <rPr>
        <b/>
        <sz val="11"/>
        <color theme="1"/>
        <rFont val="Calibri"/>
        <family val="2"/>
        <scheme val="minor"/>
      </rPr>
      <t>Client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#</t>
    </r>
  </si>
  <si>
    <r>
      <rPr>
        <b/>
        <sz val="11"/>
        <color theme="1"/>
        <rFont val="Calibri"/>
        <family val="2"/>
        <scheme val="minor"/>
      </rPr>
      <t>VIP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Account</t>
    </r>
  </si>
  <si>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Commisions</t>
    </r>
  </si>
  <si>
    <t>✅ Final Output Example</t>
  </si>
  <si>
    <t>SUMIF</t>
  </si>
  <si>
    <t>1.What is the total amount of money in VIP Accounts?</t>
  </si>
  <si>
    <t>2.What is the total amount of money in Non-VIP Accounts</t>
  </si>
  <si>
    <t>3.What is the total amount of commisions from accounts that are over 10,000?</t>
  </si>
  <si>
    <t>4.What is the total amount of money in account over 10000?</t>
  </si>
  <si>
    <t>5.What is the total amount of money in account under 5000?</t>
  </si>
  <si>
    <t>Retrieve the GBP: USD exchange rate for the following dates using VLOOKUP function, from the table in columns G-H</t>
  </si>
  <si>
    <t>In case there is no exchange rate for a certain date entry, return the the last known rate for that day.</t>
  </si>
  <si>
    <t>Rate</t>
  </si>
  <si>
    <t>Exchange Rate</t>
  </si>
  <si>
    <t>Below is a list of the employees who</t>
  </si>
  <si>
    <t>work in your company:</t>
  </si>
  <si>
    <t>Sales</t>
  </si>
  <si>
    <t>Aman</t>
  </si>
  <si>
    <t>Neha</t>
  </si>
  <si>
    <t>Priya</t>
  </si>
  <si>
    <t>Rahul</t>
  </si>
  <si>
    <r>
      <rPr>
        <b/>
        <sz val="11"/>
        <color theme="1"/>
        <rFont val="Calibri"/>
        <family val="2"/>
        <scheme val="minor"/>
      </rPr>
      <t>Emp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</si>
  <si>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t>1.What is the name of employee ID 104?</t>
  </si>
  <si>
    <t>2.What is salary of neha?</t>
  </si>
  <si>
    <t>IT department salary?</t>
  </si>
  <si>
    <t>VLOOKUP Exercise -Data:</t>
  </si>
  <si>
    <t>Gender</t>
  </si>
  <si>
    <t>Occupation</t>
  </si>
  <si>
    <t>Ketan</t>
  </si>
  <si>
    <t>Vinita</t>
  </si>
  <si>
    <t>Kavya</t>
  </si>
  <si>
    <t>Female</t>
  </si>
  <si>
    <t>Male</t>
  </si>
  <si>
    <t>Software Eng</t>
  </si>
  <si>
    <t>Data Science</t>
  </si>
  <si>
    <t>Accounting</t>
  </si>
  <si>
    <t>Doctor</t>
  </si>
  <si>
    <t>CEO</t>
  </si>
  <si>
    <t>1. Create a VLOOKUP formula to find the occupation of vijay.</t>
  </si>
  <si>
    <t>2. Create a VLOOKUP formula to find the age of rahul.</t>
  </si>
  <si>
    <t>First Name</t>
  </si>
  <si>
    <t>Last Name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</si>
  <si>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</si>
  <si>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</si>
  <si>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</si>
  <si>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</si>
  <si>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</si>
  <si>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</si>
  <si>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</si>
  <si>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</si>
  <si>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</si>
  <si>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</si>
  <si>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</si>
  <si>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</si>
  <si>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</si>
  <si>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</si>
  <si>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</si>
  <si>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</si>
  <si>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</si>
  <si>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</si>
  <si>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</si>
  <si>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</si>
  <si>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</si>
  <si>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</si>
  <si>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</si>
  <si>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</si>
  <si>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</si>
  <si>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</si>
  <si>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</si>
  <si>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</si>
  <si>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</si>
  <si>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</si>
  <si>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</si>
  <si>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</si>
  <si>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</si>
  <si>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</si>
  <si>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</si>
  <si>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</si>
  <si>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</si>
  <si>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</si>
  <si>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OrderID</t>
  </si>
  <si>
    <t>Product</t>
  </si>
  <si>
    <t>Quantity</t>
  </si>
  <si>
    <t>Price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</si>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</sst>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[$-14009]dd/mm/yy;@"/>
    <numFmt numFmtId="171" formatCode="[$-14009]d/m/yy;@"/>
    <numFmt numFmtId="174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88600"/>
        <bgColor indexed="64"/>
      </patternFill>
    </fill>
    <fill>
      <patternFill patternType="solid">
        <fgColor rgb="FF590000"/>
        <bgColor indexed="64"/>
      </patternFill>
    </fill>
    <fill>
      <patternFill patternType="solid">
        <fgColor rgb="FFA665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1" fillId="0" borderId="0" xfId="0" applyFont="1"/>
    <xf numFmtId="17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9" fontId="0" fillId="0" borderId="2" xfId="0" applyNumberFormat="1" applyBorder="1"/>
    <xf numFmtId="9" fontId="0" fillId="2" borderId="2" xfId="0" applyNumberFormat="1" applyFill="1" applyBorder="1"/>
    <xf numFmtId="9" fontId="0" fillId="2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70" fontId="0" fillId="0" borderId="0" xfId="0" applyNumberFormat="1"/>
    <xf numFmtId="171" fontId="0" fillId="0" borderId="0" xfId="0" applyNumberFormat="1"/>
    <xf numFmtId="171" fontId="0" fillId="2" borderId="0" xfId="0" applyNumberFormat="1" applyFill="1"/>
    <xf numFmtId="170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/>
    <xf numFmtId="174" fontId="0" fillId="0" borderId="2" xfId="0" applyNumberFormat="1" applyBorder="1"/>
  </cellXfs>
  <cellStyles count="1">
    <cellStyle name="Normal" xfId="0" builtinId="0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24A66-B9E7-4BE1-8A65-B20F68F4DF9F}" name="Table1" displayName="Table1" ref="A1:C10" totalsRowShown="0" dataDxfId="4">
  <autoFilter ref="A1:C10" xr:uid="{1E924A66-B9E7-4BE1-8A65-B20F68F4DF9F}"/>
  <tableColumns count="3">
    <tableColumn id="1" xr3:uid="{5FD96E54-3E27-489A-9857-920338BD2814}" name="Category" dataDxfId="3"/>
    <tableColumn id="2" xr3:uid="{0E8FFDCD-9ECE-4334-8E63-0B2A2D45587B}" name="Name" dataDxfId="2"/>
    <tableColumn id="3" xr3:uid="{0D8D4CF1-C8C3-41AE-A0D4-9B83DEEDEB51}" name="Weigh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C3047A-E135-46AF-9ED6-0B3B8F0BCAA5}" name="Table5" displayName="Table5" ref="A1:D21" totalsRowShown="0">
  <autoFilter ref="A1:D21" xr:uid="{74C3047A-E135-46AF-9ED6-0B3B8F0BCAA5}"/>
  <tableColumns count="4">
    <tableColumn id="1" xr3:uid="{81D4EB1C-4BE5-4648-A4B6-AEB7B165491F}" name="First Name"/>
    <tableColumn id="2" xr3:uid="{8BA6C039-9C6F-4256-9257-151ED907563B}" name="Last Name"/>
    <tableColumn id="3" xr3:uid="{575DF4CC-28A4-4E95-B989-DD3DE48D37CA}" name="Salary"/>
    <tableColumn id="4" xr3:uid="{1955AFDC-45EA-45AB-8847-10FED8391E2E}" name="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485FB2-ACC1-4339-A0DB-5D7FDE8A1F66}" name="Table6" displayName="Table6" ref="A1:G19" totalsRowShown="0">
  <autoFilter ref="A1:G19" xr:uid="{88485FB2-ACC1-4339-A0DB-5D7FDE8A1F66}"/>
  <tableColumns count="7">
    <tableColumn id="1" xr3:uid="{83C92FA4-B08A-4579-93FE-D7A6B5D5A728}" name="OrderID"/>
    <tableColumn id="2" xr3:uid="{A70838B9-145D-4250-AC51-A49CCD0BD1FB}" name="Name"/>
    <tableColumn id="3" xr3:uid="{CF8BB820-55EF-461C-B6E4-6C3A3F54AED4}" name="Product"/>
    <tableColumn id="4" xr3:uid="{0819E4EB-3558-4FA8-927E-25AF253054AD}" name="Quantity"/>
    <tableColumn id="5" xr3:uid="{7633AFA1-EF5A-42F6-B940-25EEBB784086}" name="Price"/>
    <tableColumn id="6" xr3:uid="{8CC1E883-30D4-41CB-A75A-3C5D11A4B2F5}" name="Total">
      <calculatedColumnFormula xml:space="preserve"> D2*E2</calculatedColumnFormula>
    </tableColumn>
    <tableColumn id="7" xr3:uid="{EEC236D5-F67D-4CE5-8B3E-7F56E01C232F}" name="Discount" dataDxfId="0">
      <calculatedColumnFormula>IF(D2&gt;20,F2*20%,0)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D7F2-FEC7-44C4-9820-0EB254064DC1}">
  <dimension ref="A1:C22"/>
  <sheetViews>
    <sheetView workbookViewId="0">
      <selection activeCell="F5" sqref="F5"/>
    </sheetView>
  </sheetViews>
  <sheetFormatPr defaultRowHeight="15" x14ac:dyDescent="0.25"/>
  <cols>
    <col min="1" max="1" width="51.28515625" bestFit="1" customWidth="1"/>
    <col min="3" max="3" width="9.7109375" customWidth="1"/>
  </cols>
  <sheetData>
    <row r="1" spans="1:3" x14ac:dyDescent="0.25">
      <c r="A1" s="5" t="s">
        <v>0</v>
      </c>
      <c r="B1" s="5" t="s">
        <v>4</v>
      </c>
      <c r="C1" s="5" t="s">
        <v>5</v>
      </c>
    </row>
    <row r="2" spans="1:3" x14ac:dyDescent="0.25">
      <c r="A2" s="3" t="s">
        <v>1</v>
      </c>
      <c r="B2" s="3" t="s">
        <v>6</v>
      </c>
      <c r="C2" s="3">
        <v>39</v>
      </c>
    </row>
    <row r="3" spans="1:3" x14ac:dyDescent="0.25">
      <c r="A3" s="3" t="s">
        <v>1</v>
      </c>
      <c r="B3" s="3" t="s">
        <v>7</v>
      </c>
      <c r="C3" s="3">
        <v>52</v>
      </c>
    </row>
    <row r="4" spans="1:3" x14ac:dyDescent="0.25">
      <c r="A4" s="3" t="s">
        <v>1</v>
      </c>
      <c r="B4" s="3" t="s">
        <v>8</v>
      </c>
      <c r="C4" s="3">
        <v>65</v>
      </c>
    </row>
    <row r="5" spans="1:3" x14ac:dyDescent="0.25">
      <c r="A5" s="4" t="s">
        <v>2</v>
      </c>
      <c r="B5" s="4" t="s">
        <v>9</v>
      </c>
      <c r="C5" s="4">
        <v>119</v>
      </c>
    </row>
    <row r="6" spans="1:3" x14ac:dyDescent="0.25">
      <c r="A6" s="4" t="s">
        <v>2</v>
      </c>
      <c r="B6" s="4" t="s">
        <v>10</v>
      </c>
      <c r="C6" s="4">
        <v>179</v>
      </c>
    </row>
    <row r="7" spans="1:3" x14ac:dyDescent="0.25">
      <c r="A7" s="4" t="s">
        <v>2</v>
      </c>
      <c r="B7" s="4" t="s">
        <v>11</v>
      </c>
      <c r="C7" s="4">
        <v>188</v>
      </c>
    </row>
    <row r="8" spans="1:3" x14ac:dyDescent="0.25">
      <c r="A8" s="2" t="s">
        <v>3</v>
      </c>
      <c r="B8" s="2" t="s">
        <v>12</v>
      </c>
      <c r="C8" s="2">
        <v>209</v>
      </c>
    </row>
    <row r="9" spans="1:3" x14ac:dyDescent="0.25">
      <c r="A9" s="2" t="s">
        <v>3</v>
      </c>
      <c r="B9" s="2" t="s">
        <v>13</v>
      </c>
      <c r="C9" s="2">
        <v>339</v>
      </c>
    </row>
    <row r="10" spans="1:3" x14ac:dyDescent="0.25">
      <c r="A10" s="2" t="s">
        <v>3</v>
      </c>
      <c r="B10" s="2" t="s">
        <v>14</v>
      </c>
      <c r="C10" s="2">
        <v>526</v>
      </c>
    </row>
    <row r="14" spans="1:3" x14ac:dyDescent="0.25">
      <c r="A14" t="s">
        <v>15</v>
      </c>
    </row>
    <row r="16" spans="1:3" x14ac:dyDescent="0.25">
      <c r="A16" t="s">
        <v>16</v>
      </c>
      <c r="C16" s="6">
        <v>52</v>
      </c>
    </row>
    <row r="18" spans="1:3" x14ac:dyDescent="0.25">
      <c r="A18" t="s">
        <v>17</v>
      </c>
      <c r="C18" s="6">
        <v>162</v>
      </c>
    </row>
    <row r="20" spans="1:3" x14ac:dyDescent="0.25">
      <c r="A20" t="s">
        <v>18</v>
      </c>
      <c r="C20" s="6">
        <v>358</v>
      </c>
    </row>
    <row r="22" spans="1:3" x14ac:dyDescent="0.25">
      <c r="A22" t="s">
        <v>19</v>
      </c>
      <c r="C22" s="6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3C76-6C1F-42F6-BFA6-ED622AA2BDD9}">
  <dimension ref="A1:H24"/>
  <sheetViews>
    <sheetView topLeftCell="A3" workbookViewId="0">
      <selection activeCell="L10" sqref="L10"/>
    </sheetView>
  </sheetViews>
  <sheetFormatPr defaultRowHeight="15" x14ac:dyDescent="0.25"/>
  <cols>
    <col min="7" max="7" width="8" bestFit="1" customWidth="1"/>
    <col min="8" max="8" width="14.42578125" bestFit="1" customWidth="1"/>
  </cols>
  <sheetData>
    <row r="1" spans="1:8" x14ac:dyDescent="0.25">
      <c r="A1" t="s">
        <v>20</v>
      </c>
    </row>
    <row r="2" spans="1:8" x14ac:dyDescent="0.25">
      <c r="A2" t="s">
        <v>21</v>
      </c>
    </row>
    <row r="3" spans="1:8" x14ac:dyDescent="0.25">
      <c r="A3" s="7" t="s">
        <v>32</v>
      </c>
      <c r="G3" s="7" t="s">
        <v>31</v>
      </c>
      <c r="H3" s="7" t="s">
        <v>33</v>
      </c>
    </row>
    <row r="4" spans="1:8" x14ac:dyDescent="0.25">
      <c r="A4" t="s">
        <v>22</v>
      </c>
      <c r="G4" s="8">
        <v>43101</v>
      </c>
      <c r="H4">
        <v>155</v>
      </c>
    </row>
    <row r="5" spans="1:8" x14ac:dyDescent="0.25">
      <c r="A5" t="s">
        <v>23</v>
      </c>
      <c r="G5" s="8">
        <v>43101</v>
      </c>
      <c r="H5">
        <v>170</v>
      </c>
    </row>
    <row r="6" spans="1:8" x14ac:dyDescent="0.25">
      <c r="A6" t="s">
        <v>24</v>
      </c>
      <c r="G6" s="8">
        <v>43101</v>
      </c>
      <c r="H6">
        <v>120</v>
      </c>
    </row>
    <row r="7" spans="1:8" x14ac:dyDescent="0.25">
      <c r="A7" t="s">
        <v>25</v>
      </c>
      <c r="G7" s="8">
        <v>43132</v>
      </c>
      <c r="H7">
        <v>173</v>
      </c>
    </row>
    <row r="8" spans="1:8" x14ac:dyDescent="0.25">
      <c r="A8" t="s">
        <v>26</v>
      </c>
      <c r="G8" s="8">
        <v>43132</v>
      </c>
      <c r="H8">
        <v>128</v>
      </c>
    </row>
    <row r="9" spans="1:8" x14ac:dyDescent="0.25">
      <c r="A9" t="s">
        <v>27</v>
      </c>
      <c r="G9" s="8">
        <v>43132</v>
      </c>
      <c r="H9">
        <v>107</v>
      </c>
    </row>
    <row r="10" spans="1:8" x14ac:dyDescent="0.25">
      <c r="A10" t="s">
        <v>28</v>
      </c>
      <c r="G10" s="8">
        <v>43160</v>
      </c>
      <c r="H10">
        <v>220</v>
      </c>
    </row>
    <row r="11" spans="1:8" x14ac:dyDescent="0.25">
      <c r="A11" t="s">
        <v>29</v>
      </c>
      <c r="G11" s="8">
        <v>43160</v>
      </c>
      <c r="H11">
        <v>240</v>
      </c>
    </row>
    <row r="12" spans="1:8" x14ac:dyDescent="0.25">
      <c r="A12" t="s">
        <v>30</v>
      </c>
      <c r="G12" s="8">
        <v>43160</v>
      </c>
      <c r="H12">
        <v>130</v>
      </c>
    </row>
    <row r="15" spans="1:8" x14ac:dyDescent="0.25">
      <c r="A15" t="s">
        <v>34</v>
      </c>
    </row>
    <row r="17" spans="1:7" x14ac:dyDescent="0.25">
      <c r="E17" s="8">
        <v>43101</v>
      </c>
      <c r="G17" s="6">
        <v>148.33330000000001</v>
      </c>
    </row>
    <row r="18" spans="1:7" x14ac:dyDescent="0.25">
      <c r="E18" s="8">
        <v>43132</v>
      </c>
      <c r="G18" s="6">
        <v>136</v>
      </c>
    </row>
    <row r="19" spans="1:7" x14ac:dyDescent="0.25">
      <c r="E19" s="8">
        <v>43160</v>
      </c>
      <c r="G19" s="6">
        <v>196.666</v>
      </c>
    </row>
    <row r="21" spans="1:7" x14ac:dyDescent="0.25">
      <c r="A21" t="s">
        <v>35</v>
      </c>
    </row>
    <row r="23" spans="1:7" x14ac:dyDescent="0.25">
      <c r="A23" t="s">
        <v>36</v>
      </c>
      <c r="G23" s="6">
        <v>160.333</v>
      </c>
    </row>
    <row r="24" spans="1:7" x14ac:dyDescent="0.25">
      <c r="A24" t="s">
        <v>37</v>
      </c>
      <c r="G24" s="6">
        <v>160.333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0625-F8E5-4280-83BA-29E980B4902F}">
  <dimension ref="A1:J17"/>
  <sheetViews>
    <sheetView workbookViewId="0">
      <selection activeCell="B20" sqref="B20"/>
    </sheetView>
  </sheetViews>
  <sheetFormatPr defaultRowHeight="15" x14ac:dyDescent="0.25"/>
  <cols>
    <col min="2" max="2" width="65" bestFit="1" customWidth="1"/>
  </cols>
  <sheetData>
    <row r="1" spans="1:10" x14ac:dyDescent="0.25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t="s">
        <v>39</v>
      </c>
    </row>
    <row r="3" spans="1:10" x14ac:dyDescent="0.25">
      <c r="A3" t="s">
        <v>40</v>
      </c>
      <c r="C3" t="s">
        <v>50</v>
      </c>
    </row>
    <row r="4" spans="1:10" x14ac:dyDescent="0.25">
      <c r="A4" t="s">
        <v>41</v>
      </c>
      <c r="C4" s="1">
        <v>7</v>
      </c>
    </row>
    <row r="5" spans="1:10" x14ac:dyDescent="0.25">
      <c r="A5" t="s">
        <v>42</v>
      </c>
      <c r="C5" s="1">
        <v>4</v>
      </c>
    </row>
    <row r="6" spans="1:10" x14ac:dyDescent="0.25">
      <c r="A6" t="s">
        <v>43</v>
      </c>
      <c r="C6" s="1">
        <v>3</v>
      </c>
    </row>
    <row r="7" spans="1:10" x14ac:dyDescent="0.25">
      <c r="A7" t="s">
        <v>44</v>
      </c>
      <c r="C7" s="1">
        <v>2</v>
      </c>
    </row>
    <row r="9" spans="1:10" x14ac:dyDescent="0.25">
      <c r="A9" t="s">
        <v>46</v>
      </c>
    </row>
    <row r="12" spans="1:10" x14ac:dyDescent="0.25">
      <c r="A12" t="s">
        <v>47</v>
      </c>
      <c r="B12" t="s">
        <v>48</v>
      </c>
    </row>
    <row r="13" spans="1:10" x14ac:dyDescent="0.25">
      <c r="A13" t="s">
        <v>45</v>
      </c>
      <c r="C13" s="6">
        <f>COUNT(C4:C7)</f>
        <v>4</v>
      </c>
    </row>
    <row r="16" spans="1:10" x14ac:dyDescent="0.25">
      <c r="A16" t="s">
        <v>47</v>
      </c>
      <c r="B16" t="s">
        <v>49</v>
      </c>
    </row>
    <row r="17" spans="1:3" x14ac:dyDescent="0.25">
      <c r="A17" t="s">
        <v>45</v>
      </c>
      <c r="C17" s="6">
        <f>COUNTA(C4:C7)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0A50-3DC6-4927-BA49-80A39BAB71D1}">
  <dimension ref="A1:E31"/>
  <sheetViews>
    <sheetView workbookViewId="0">
      <selection activeCell="B31" sqref="B31"/>
    </sheetView>
  </sheetViews>
  <sheetFormatPr defaultRowHeight="15" x14ac:dyDescent="0.25"/>
  <cols>
    <col min="1" max="1" width="16.85546875" bestFit="1" customWidth="1"/>
  </cols>
  <sheetData>
    <row r="1" spans="1:5" x14ac:dyDescent="0.25">
      <c r="A1" t="s">
        <v>51</v>
      </c>
    </row>
    <row r="3" spans="1:5" x14ac:dyDescent="0.25">
      <c r="A3" t="s">
        <v>52</v>
      </c>
      <c r="B3" t="s">
        <v>53</v>
      </c>
      <c r="C3" t="s">
        <v>54</v>
      </c>
      <c r="D3" t="s">
        <v>55</v>
      </c>
    </row>
    <row r="4" spans="1:5" x14ac:dyDescent="0.25">
      <c r="A4">
        <v>1</v>
      </c>
      <c r="B4">
        <v>10</v>
      </c>
      <c r="C4" t="s">
        <v>57</v>
      </c>
      <c r="D4">
        <v>5</v>
      </c>
    </row>
    <row r="5" spans="1:5" x14ac:dyDescent="0.25">
      <c r="A5">
        <v>2</v>
      </c>
      <c r="B5">
        <v>15</v>
      </c>
      <c r="D5">
        <v>8</v>
      </c>
    </row>
    <row r="6" spans="1:5" x14ac:dyDescent="0.25">
      <c r="A6">
        <v>3</v>
      </c>
      <c r="C6" t="s">
        <v>56</v>
      </c>
      <c r="D6">
        <v>12</v>
      </c>
    </row>
    <row r="7" spans="1:5" x14ac:dyDescent="0.25">
      <c r="A7">
        <v>4</v>
      </c>
      <c r="B7">
        <v>20</v>
      </c>
      <c r="C7" t="s">
        <v>57</v>
      </c>
    </row>
    <row r="8" spans="1:5" x14ac:dyDescent="0.25">
      <c r="A8">
        <v>5</v>
      </c>
      <c r="B8">
        <v>25</v>
      </c>
      <c r="C8" t="s">
        <v>56</v>
      </c>
      <c r="D8">
        <v>15</v>
      </c>
    </row>
    <row r="11" spans="1:5" x14ac:dyDescent="0.25">
      <c r="A11" t="s">
        <v>58</v>
      </c>
    </row>
    <row r="13" spans="1:5" x14ac:dyDescent="0.25">
      <c r="A13" t="s">
        <v>47</v>
      </c>
      <c r="B13" t="s">
        <v>61</v>
      </c>
      <c r="E13" t="s">
        <v>60</v>
      </c>
    </row>
    <row r="15" spans="1:5" x14ac:dyDescent="0.25">
      <c r="A15" t="s">
        <v>45</v>
      </c>
      <c r="B15" s="1">
        <f>COUNT(B4:B8)</f>
        <v>4</v>
      </c>
    </row>
    <row r="17" spans="1:2" x14ac:dyDescent="0.25">
      <c r="A17" t="s">
        <v>47</v>
      </c>
      <c r="B17" t="s">
        <v>62</v>
      </c>
    </row>
    <row r="19" spans="1:2" x14ac:dyDescent="0.25">
      <c r="A19" t="s">
        <v>45</v>
      </c>
      <c r="B19" s="1">
        <f>COUNT(B4:B8)</f>
        <v>4</v>
      </c>
    </row>
    <row r="21" spans="1:2" x14ac:dyDescent="0.25">
      <c r="A21" t="s">
        <v>63</v>
      </c>
      <c r="B21" t="s">
        <v>64</v>
      </c>
    </row>
    <row r="23" spans="1:2" x14ac:dyDescent="0.25">
      <c r="A23" t="s">
        <v>45</v>
      </c>
      <c r="B23" s="1">
        <f>COUNT(D4:D8)</f>
        <v>4</v>
      </c>
    </row>
    <row r="25" spans="1:2" x14ac:dyDescent="0.25">
      <c r="A25" t="s">
        <v>63</v>
      </c>
      <c r="B25" t="s">
        <v>65</v>
      </c>
    </row>
    <row r="27" spans="1:2" x14ac:dyDescent="0.25">
      <c r="A27" t="s">
        <v>45</v>
      </c>
      <c r="B27" s="1">
        <f>COUNTA(C4:C8)</f>
        <v>4</v>
      </c>
    </row>
    <row r="29" spans="1:2" x14ac:dyDescent="0.25">
      <c r="A29" t="s">
        <v>47</v>
      </c>
      <c r="B29" t="s">
        <v>66</v>
      </c>
    </row>
    <row r="31" spans="1:2" x14ac:dyDescent="0.25">
      <c r="A31" t="s">
        <v>45</v>
      </c>
      <c r="B31" s="1">
        <f>COUNTA(A4:A8)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0A30-5FE3-4620-8D85-4ABE12E302C6}">
  <dimension ref="A1:D26"/>
  <sheetViews>
    <sheetView topLeftCell="A3" workbookViewId="0">
      <selection activeCell="D9" sqref="D9"/>
    </sheetView>
  </sheetViews>
  <sheetFormatPr defaultRowHeight="15" x14ac:dyDescent="0.25"/>
  <cols>
    <col min="2" max="2" width="18.140625" bestFit="1" customWidth="1"/>
    <col min="3" max="3" width="26.140625" bestFit="1" customWidth="1"/>
  </cols>
  <sheetData>
    <row r="1" spans="1:4" x14ac:dyDescent="0.25">
      <c r="A1" t="s">
        <v>67</v>
      </c>
    </row>
    <row r="3" spans="1:4" x14ac:dyDescent="0.25">
      <c r="B3" t="s">
        <v>69</v>
      </c>
      <c r="C3" s="7" t="s">
        <v>68</v>
      </c>
      <c r="D3" s="7" t="s">
        <v>70</v>
      </c>
    </row>
    <row r="4" spans="1:4" x14ac:dyDescent="0.25">
      <c r="B4">
        <v>101</v>
      </c>
      <c r="C4" t="s">
        <v>71</v>
      </c>
      <c r="D4" s="9">
        <v>78022</v>
      </c>
    </row>
    <row r="5" spans="1:4" x14ac:dyDescent="0.25">
      <c r="B5">
        <v>102</v>
      </c>
      <c r="C5" t="s">
        <v>72</v>
      </c>
      <c r="D5" s="9">
        <v>99819</v>
      </c>
    </row>
    <row r="6" spans="1:4" x14ac:dyDescent="0.25">
      <c r="B6">
        <v>103</v>
      </c>
      <c r="C6" t="s">
        <v>73</v>
      </c>
      <c r="D6" t="s">
        <v>85</v>
      </c>
    </row>
    <row r="7" spans="1:4" x14ac:dyDescent="0.25">
      <c r="B7">
        <v>104</v>
      </c>
      <c r="C7" t="s">
        <v>74</v>
      </c>
      <c r="D7" s="9">
        <v>27522</v>
      </c>
    </row>
    <row r="8" spans="1:4" x14ac:dyDescent="0.25">
      <c r="B8">
        <v>105</v>
      </c>
      <c r="C8" t="s">
        <v>75</v>
      </c>
      <c r="D8" s="9">
        <v>0</v>
      </c>
    </row>
    <row r="9" spans="1:4" x14ac:dyDescent="0.25">
      <c r="B9">
        <v>106</v>
      </c>
      <c r="C9" t="s">
        <v>76</v>
      </c>
    </row>
    <row r="10" spans="1:4" x14ac:dyDescent="0.25">
      <c r="B10">
        <v>107</v>
      </c>
      <c r="C10" t="s">
        <v>77</v>
      </c>
      <c r="D10" s="9">
        <v>0</v>
      </c>
    </row>
    <row r="11" spans="1:4" x14ac:dyDescent="0.25">
      <c r="B11">
        <v>108</v>
      </c>
      <c r="C11" t="s">
        <v>78</v>
      </c>
      <c r="D11" s="10">
        <v>88041</v>
      </c>
    </row>
    <row r="12" spans="1:4" x14ac:dyDescent="0.25">
      <c r="B12">
        <v>109</v>
      </c>
      <c r="C12" t="s">
        <v>79</v>
      </c>
      <c r="D12" s="10">
        <v>81831</v>
      </c>
    </row>
    <row r="13" spans="1:4" x14ac:dyDescent="0.25">
      <c r="B13">
        <v>110</v>
      </c>
      <c r="C13" t="s">
        <v>80</v>
      </c>
      <c r="D13" t="s">
        <v>85</v>
      </c>
    </row>
    <row r="14" spans="1:4" x14ac:dyDescent="0.25">
      <c r="B14">
        <v>111</v>
      </c>
      <c r="C14" t="s">
        <v>81</v>
      </c>
    </row>
    <row r="15" spans="1:4" x14ac:dyDescent="0.25">
      <c r="B15">
        <v>112</v>
      </c>
      <c r="C15" t="s">
        <v>82</v>
      </c>
      <c r="D15" s="10">
        <v>26624</v>
      </c>
    </row>
    <row r="16" spans="1:4" x14ac:dyDescent="0.25">
      <c r="B16">
        <v>113</v>
      </c>
      <c r="C16" t="s">
        <v>83</v>
      </c>
      <c r="D16" s="10">
        <v>92885</v>
      </c>
    </row>
    <row r="17" spans="2:4" x14ac:dyDescent="0.25">
      <c r="B17">
        <v>114</v>
      </c>
      <c r="C17" t="s">
        <v>84</v>
      </c>
      <c r="D17" s="10">
        <v>0</v>
      </c>
    </row>
    <row r="19" spans="2:4" x14ac:dyDescent="0.25">
      <c r="B19" t="s">
        <v>58</v>
      </c>
    </row>
    <row r="20" spans="2:4" x14ac:dyDescent="0.25">
      <c r="B20" t="s">
        <v>47</v>
      </c>
      <c r="C20" t="s">
        <v>87</v>
      </c>
    </row>
    <row r="21" spans="2:4" x14ac:dyDescent="0.25">
      <c r="B21" t="s">
        <v>86</v>
      </c>
      <c r="C21" s="1">
        <v>10</v>
      </c>
    </row>
    <row r="23" spans="2:4" x14ac:dyDescent="0.25">
      <c r="C23" t="s">
        <v>59</v>
      </c>
    </row>
    <row r="25" spans="2:4" x14ac:dyDescent="0.25">
      <c r="B25" t="s">
        <v>47</v>
      </c>
      <c r="C25" t="s">
        <v>88</v>
      </c>
    </row>
    <row r="26" spans="2:4" x14ac:dyDescent="0.25">
      <c r="B26" t="s">
        <v>45</v>
      </c>
      <c r="C26" s="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4587-908F-4614-BE70-BE4D57C9AF5F}">
  <dimension ref="A2:A25"/>
  <sheetViews>
    <sheetView topLeftCell="A2" zoomScaleNormal="100" workbookViewId="0">
      <selection activeCell="H27" sqref="H27"/>
    </sheetView>
  </sheetViews>
  <sheetFormatPr defaultRowHeight="15" x14ac:dyDescent="0.25"/>
  <cols>
    <col min="1" max="1" width="31.85546875" bestFit="1" customWidth="1"/>
    <col min="2" max="2" width="11" customWidth="1"/>
    <col min="4" max="4" width="18.28515625" bestFit="1" customWidth="1"/>
  </cols>
  <sheetData>
    <row r="2" spans="1:1" x14ac:dyDescent="0.25">
      <c r="A2" s="11" t="s">
        <v>89</v>
      </c>
    </row>
    <row r="3" spans="1:1" x14ac:dyDescent="0.25">
      <c r="A3" s="11"/>
    </row>
    <row r="4" spans="1:1" x14ac:dyDescent="0.25">
      <c r="A4" s="11"/>
    </row>
    <row r="5" spans="1:1" x14ac:dyDescent="0.25">
      <c r="A5" s="11" t="s">
        <v>90</v>
      </c>
    </row>
    <row r="6" spans="1:1" x14ac:dyDescent="0.25">
      <c r="A6" s="11">
        <v>5</v>
      </c>
    </row>
    <row r="7" spans="1:1" x14ac:dyDescent="0.25">
      <c r="A7" s="11"/>
    </row>
    <row r="8" spans="1:1" x14ac:dyDescent="0.25">
      <c r="A8" s="11">
        <v>2</v>
      </c>
    </row>
    <row r="9" spans="1:1" x14ac:dyDescent="0.25">
      <c r="A9" s="11"/>
    </row>
    <row r="10" spans="1:1" x14ac:dyDescent="0.25">
      <c r="A10" s="11" t="s">
        <v>93</v>
      </c>
    </row>
    <row r="11" spans="1:1" x14ac:dyDescent="0.25">
      <c r="A11" s="11"/>
    </row>
    <row r="12" spans="1:1" x14ac:dyDescent="0.25">
      <c r="A12" s="11" t="s">
        <v>94</v>
      </c>
    </row>
    <row r="13" spans="1:1" x14ac:dyDescent="0.25">
      <c r="A13" s="12" t="s">
        <v>91</v>
      </c>
    </row>
    <row r="14" spans="1:1" x14ac:dyDescent="0.25">
      <c r="A14" t="s">
        <v>92</v>
      </c>
    </row>
    <row r="16" spans="1:1" x14ac:dyDescent="0.25">
      <c r="A16" t="s">
        <v>95</v>
      </c>
    </row>
    <row r="18" spans="1:1" x14ac:dyDescent="0.25">
      <c r="A18" t="s">
        <v>96</v>
      </c>
    </row>
    <row r="19" spans="1:1" x14ac:dyDescent="0.25">
      <c r="A19" s="1">
        <v>2</v>
      </c>
    </row>
    <row r="21" spans="1:1" x14ac:dyDescent="0.25">
      <c r="A21" t="s">
        <v>97</v>
      </c>
    </row>
    <row r="22" spans="1:1" x14ac:dyDescent="0.25">
      <c r="A22" s="1">
        <v>4</v>
      </c>
    </row>
    <row r="24" spans="1:1" x14ac:dyDescent="0.25">
      <c r="A24" t="s">
        <v>98</v>
      </c>
    </row>
    <row r="25" spans="1:1" x14ac:dyDescent="0.25">
      <c r="A25" s="1">
        <v>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67B5-3C48-4F7E-8487-D6996A6DF01D}">
  <dimension ref="A1:E20"/>
  <sheetViews>
    <sheetView workbookViewId="0">
      <selection activeCell="D16" sqref="D16"/>
    </sheetView>
  </sheetViews>
  <sheetFormatPr defaultRowHeight="15" x14ac:dyDescent="0.25"/>
  <cols>
    <col min="1" max="1" width="15.7109375" bestFit="1" customWidth="1"/>
  </cols>
  <sheetData>
    <row r="1" spans="1:5" x14ac:dyDescent="0.25">
      <c r="A1" s="13" t="s">
        <v>99</v>
      </c>
      <c r="B1" s="13"/>
      <c r="C1" s="13"/>
      <c r="D1" s="13"/>
      <c r="E1" s="13"/>
    </row>
    <row r="2" spans="1:5" x14ac:dyDescent="0.25">
      <c r="A2" s="13" t="s">
        <v>111</v>
      </c>
      <c r="B2" s="13">
        <v>101</v>
      </c>
      <c r="C2" s="13">
        <v>102</v>
      </c>
      <c r="D2" s="13">
        <v>103</v>
      </c>
      <c r="E2" s="13">
        <v>104</v>
      </c>
    </row>
    <row r="3" spans="1:5" x14ac:dyDescent="0.25">
      <c r="A3" s="13" t="s">
        <v>105</v>
      </c>
      <c r="B3" s="13" t="s">
        <v>42</v>
      </c>
      <c r="C3" s="13" t="s">
        <v>43</v>
      </c>
      <c r="D3" s="13" t="s">
        <v>103</v>
      </c>
      <c r="E3" s="13" t="s">
        <v>104</v>
      </c>
    </row>
    <row r="4" spans="1:5" x14ac:dyDescent="0.25">
      <c r="A4" s="13" t="s">
        <v>100</v>
      </c>
      <c r="B4" s="13" t="s">
        <v>106</v>
      </c>
      <c r="C4" s="13" t="s">
        <v>107</v>
      </c>
      <c r="D4" s="13" t="s">
        <v>108</v>
      </c>
      <c r="E4" s="13" t="s">
        <v>109</v>
      </c>
    </row>
    <row r="5" spans="1:5" x14ac:dyDescent="0.25">
      <c r="A5" s="13" t="s">
        <v>101</v>
      </c>
      <c r="B5" s="13">
        <v>55000</v>
      </c>
      <c r="C5" s="13">
        <v>60000</v>
      </c>
      <c r="D5" s="13">
        <v>65000</v>
      </c>
      <c r="E5" s="13">
        <v>70000</v>
      </c>
    </row>
    <row r="6" spans="1:5" x14ac:dyDescent="0.25">
      <c r="A6" s="13" t="s">
        <v>110</v>
      </c>
      <c r="B6" s="13">
        <v>2000</v>
      </c>
      <c r="C6" s="13">
        <v>2500</v>
      </c>
      <c r="D6" s="13">
        <v>3000</v>
      </c>
      <c r="E6" s="13">
        <v>2000</v>
      </c>
    </row>
    <row r="7" spans="1:5" x14ac:dyDescent="0.25">
      <c r="A7" s="13" t="s">
        <v>102</v>
      </c>
      <c r="B7" s="13">
        <v>57000</v>
      </c>
      <c r="C7" s="13">
        <v>62500</v>
      </c>
      <c r="D7" s="13">
        <v>68000</v>
      </c>
      <c r="E7" s="13">
        <v>72000</v>
      </c>
    </row>
    <row r="10" spans="1:5" x14ac:dyDescent="0.25">
      <c r="A10" t="s">
        <v>112</v>
      </c>
    </row>
    <row r="12" spans="1:5" x14ac:dyDescent="0.25">
      <c r="A12" t="s">
        <v>113</v>
      </c>
    </row>
    <row r="14" spans="1:5" x14ac:dyDescent="0.25">
      <c r="A14" t="s">
        <v>114</v>
      </c>
    </row>
    <row r="16" spans="1:5" x14ac:dyDescent="0.25">
      <c r="A16" t="s">
        <v>115</v>
      </c>
    </row>
    <row r="18" spans="1:1" x14ac:dyDescent="0.25">
      <c r="A18" t="s">
        <v>116</v>
      </c>
    </row>
    <row r="20" spans="1:1" x14ac:dyDescent="0.25">
      <c r="A20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00D0-50CF-4EB8-AC4F-C9947BDA1B1C}">
  <dimension ref="A1:C10"/>
  <sheetViews>
    <sheetView workbookViewId="0">
      <selection activeCell="E7" sqref="E7"/>
    </sheetView>
  </sheetViews>
  <sheetFormatPr defaultRowHeight="15" x14ac:dyDescent="0.25"/>
  <sheetData>
    <row r="1" spans="1:3" x14ac:dyDescent="0.25">
      <c r="A1" t="s">
        <v>118</v>
      </c>
    </row>
    <row r="3" spans="1:3" x14ac:dyDescent="0.25">
      <c r="A3" t="s">
        <v>119</v>
      </c>
    </row>
    <row r="4" spans="1:3" x14ac:dyDescent="0.25">
      <c r="A4" t="s">
        <v>120</v>
      </c>
    </row>
    <row r="6" spans="1:3" x14ac:dyDescent="0.25">
      <c r="A6" t="s">
        <v>4</v>
      </c>
      <c r="B6" t="s">
        <v>122</v>
      </c>
      <c r="C6" t="s">
        <v>123</v>
      </c>
    </row>
    <row r="7" spans="1:3" x14ac:dyDescent="0.25">
      <c r="A7" t="s">
        <v>124</v>
      </c>
      <c r="B7">
        <v>60</v>
      </c>
      <c r="C7" s="1" t="str">
        <f>IF(B7&gt;50,"pass","fail")</f>
        <v>pass</v>
      </c>
    </row>
    <row r="8" spans="1:3" x14ac:dyDescent="0.25">
      <c r="A8" t="s">
        <v>125</v>
      </c>
      <c r="B8">
        <v>40</v>
      </c>
      <c r="C8" s="1" t="str">
        <f t="shared" ref="C8:C10" si="0">IF(B8&gt;50,"pass","fail")</f>
        <v>fail</v>
      </c>
    </row>
    <row r="9" spans="1:3" x14ac:dyDescent="0.25">
      <c r="A9" t="s">
        <v>126</v>
      </c>
      <c r="B9">
        <v>35</v>
      </c>
      <c r="C9" s="1" t="str">
        <f t="shared" si="0"/>
        <v>fail</v>
      </c>
    </row>
    <row r="10" spans="1:3" x14ac:dyDescent="0.25">
      <c r="A10" t="s">
        <v>127</v>
      </c>
      <c r="B10">
        <v>55</v>
      </c>
      <c r="C10" s="1" t="str">
        <f t="shared" si="0"/>
        <v>pass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259D-0FE8-4B93-ABBA-8CCA37325EDF}">
  <dimension ref="A1:E9"/>
  <sheetViews>
    <sheetView workbookViewId="0">
      <selection activeCell="F9" sqref="F9"/>
    </sheetView>
  </sheetViews>
  <sheetFormatPr defaultRowHeight="15" x14ac:dyDescent="0.25"/>
  <cols>
    <col min="2" max="2" width="14" bestFit="1" customWidth="1"/>
    <col min="3" max="3" width="11.85546875" bestFit="1" customWidth="1"/>
    <col min="4" max="4" width="11" bestFit="1" customWidth="1"/>
    <col min="5" max="5" width="12.140625" bestFit="1" customWidth="1"/>
  </cols>
  <sheetData>
    <row r="1" spans="1:5" x14ac:dyDescent="0.25">
      <c r="A1" t="s">
        <v>128</v>
      </c>
    </row>
    <row r="2" spans="1:5" x14ac:dyDescent="0.25">
      <c r="A2" t="s">
        <v>129</v>
      </c>
    </row>
    <row r="4" spans="1:5" x14ac:dyDescent="0.25">
      <c r="C4" t="s">
        <v>6</v>
      </c>
      <c r="D4" t="s">
        <v>7</v>
      </c>
    </row>
    <row r="5" spans="1:5" x14ac:dyDescent="0.25">
      <c r="C5" t="s">
        <v>134</v>
      </c>
      <c r="D5" t="s">
        <v>135</v>
      </c>
      <c r="E5" t="s">
        <v>136</v>
      </c>
    </row>
    <row r="6" spans="1:5" x14ac:dyDescent="0.25">
      <c r="B6" t="s">
        <v>130</v>
      </c>
      <c r="C6">
        <v>95</v>
      </c>
      <c r="D6">
        <v>95</v>
      </c>
      <c r="E6" s="1" t="str">
        <f>IF(C6=D6, "MATCH", "UNMATCH")</f>
        <v>MATCH</v>
      </c>
    </row>
    <row r="7" spans="1:5" x14ac:dyDescent="0.25">
      <c r="B7" t="s">
        <v>131</v>
      </c>
      <c r="C7">
        <v>100</v>
      </c>
      <c r="D7">
        <v>100</v>
      </c>
      <c r="E7" s="1" t="str">
        <f t="shared" ref="E7:E9" si="0">IF(C7=D7, "MATCH", "UNMATCH")</f>
        <v>MATCH</v>
      </c>
    </row>
    <row r="8" spans="1:5" x14ac:dyDescent="0.25">
      <c r="B8" t="s">
        <v>132</v>
      </c>
      <c r="C8">
        <v>80</v>
      </c>
      <c r="D8">
        <v>82</v>
      </c>
      <c r="E8" s="1" t="str">
        <f t="shared" si="0"/>
        <v>UNMATCH</v>
      </c>
    </row>
    <row r="9" spans="1:5" x14ac:dyDescent="0.25">
      <c r="B9" t="s">
        <v>133</v>
      </c>
      <c r="C9">
        <v>10</v>
      </c>
      <c r="D9">
        <v>10</v>
      </c>
      <c r="E9" s="1" t="str">
        <f t="shared" si="0"/>
        <v>MATCH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2D8F-726C-4F10-BF26-E51304206DFC}">
  <dimension ref="A1:E12"/>
  <sheetViews>
    <sheetView workbookViewId="0">
      <selection activeCell="F9" sqref="F9"/>
    </sheetView>
  </sheetViews>
  <sheetFormatPr defaultRowHeight="15" x14ac:dyDescent="0.25"/>
  <cols>
    <col min="4" max="4" width="13.5703125" bestFit="1" customWidth="1"/>
    <col min="5" max="5" width="13.140625" bestFit="1" customWidth="1"/>
  </cols>
  <sheetData>
    <row r="1" spans="1:5" x14ac:dyDescent="0.25">
      <c r="A1" t="s">
        <v>137</v>
      </c>
    </row>
    <row r="2" spans="1:5" x14ac:dyDescent="0.25">
      <c r="A2" t="s">
        <v>138</v>
      </c>
    </row>
    <row r="4" spans="1:5" x14ac:dyDescent="0.25">
      <c r="A4" t="s">
        <v>139</v>
      </c>
    </row>
    <row r="6" spans="1:5" x14ac:dyDescent="0.25">
      <c r="D6" t="s">
        <v>149</v>
      </c>
      <c r="E6" t="s">
        <v>150</v>
      </c>
    </row>
    <row r="7" spans="1:5" x14ac:dyDescent="0.25">
      <c r="A7" s="7" t="s">
        <v>140</v>
      </c>
      <c r="B7" s="7" t="s">
        <v>121</v>
      </c>
      <c r="C7" s="7" t="s">
        <v>141</v>
      </c>
      <c r="D7" s="7" t="s">
        <v>148</v>
      </c>
      <c r="E7" s="7" t="s">
        <v>147</v>
      </c>
    </row>
    <row r="8" spans="1:5" x14ac:dyDescent="0.25">
      <c r="A8">
        <v>1</v>
      </c>
      <c r="B8" t="s">
        <v>142</v>
      </c>
      <c r="C8">
        <v>17</v>
      </c>
      <c r="D8" s="1" t="str">
        <f>IF(C8&lt;18,"minor","adult")</f>
        <v>minor</v>
      </c>
      <c r="E8" s="1" t="s">
        <v>151</v>
      </c>
    </row>
    <row r="9" spans="1:5" x14ac:dyDescent="0.25">
      <c r="A9">
        <v>2</v>
      </c>
      <c r="B9" t="s">
        <v>143</v>
      </c>
      <c r="C9">
        <v>18</v>
      </c>
      <c r="D9" s="1" t="str">
        <f t="shared" ref="D9:D12" si="0">IF(C9&lt;18,"minor","adult")</f>
        <v>adult</v>
      </c>
      <c r="E9" s="1" t="s">
        <v>152</v>
      </c>
    </row>
    <row r="10" spans="1:5" x14ac:dyDescent="0.25">
      <c r="A10">
        <v>3</v>
      </c>
      <c r="B10" t="s">
        <v>144</v>
      </c>
      <c r="C10">
        <v>16.5</v>
      </c>
      <c r="D10" s="1" t="str">
        <f t="shared" si="0"/>
        <v>minor</v>
      </c>
      <c r="E10" s="1" t="s">
        <v>151</v>
      </c>
    </row>
    <row r="11" spans="1:5" x14ac:dyDescent="0.25">
      <c r="A11">
        <v>4</v>
      </c>
      <c r="B11" t="s">
        <v>145</v>
      </c>
      <c r="C11">
        <v>19</v>
      </c>
      <c r="D11" s="1" t="str">
        <f t="shared" si="0"/>
        <v>adult</v>
      </c>
      <c r="E11" s="1" t="s">
        <v>152</v>
      </c>
    </row>
    <row r="12" spans="1:5" x14ac:dyDescent="0.25">
      <c r="A12">
        <v>5</v>
      </c>
      <c r="B12" t="s">
        <v>146</v>
      </c>
      <c r="C12">
        <v>15</v>
      </c>
      <c r="D12" s="1" t="str">
        <f t="shared" si="0"/>
        <v>minor</v>
      </c>
      <c r="E12" s="1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180F-7D5C-465A-A2B3-C6E119C0CBB6}">
  <dimension ref="A1:E14"/>
  <sheetViews>
    <sheetView workbookViewId="0">
      <selection activeCell="H6" sqref="H6"/>
    </sheetView>
  </sheetViews>
  <sheetFormatPr defaultRowHeight="15" x14ac:dyDescent="0.25"/>
  <cols>
    <col min="5" max="5" width="11.140625" bestFit="1" customWidth="1"/>
  </cols>
  <sheetData>
    <row r="1" spans="1:5" x14ac:dyDescent="0.25">
      <c r="A1" t="s">
        <v>153</v>
      </c>
    </row>
    <row r="5" spans="1:5" x14ac:dyDescent="0.25">
      <c r="B5" s="13" t="s">
        <v>154</v>
      </c>
      <c r="C5" s="15">
        <v>1</v>
      </c>
    </row>
    <row r="6" spans="1:5" x14ac:dyDescent="0.25">
      <c r="B6" s="13" t="s">
        <v>155</v>
      </c>
      <c r="C6" s="15">
        <v>0.5</v>
      </c>
    </row>
    <row r="8" spans="1:5" x14ac:dyDescent="0.25">
      <c r="B8" s="13"/>
      <c r="C8" s="13"/>
      <c r="D8" s="13"/>
      <c r="E8" s="13"/>
    </row>
    <row r="9" spans="1:5" x14ac:dyDescent="0.25">
      <c r="B9" s="13" t="s">
        <v>4</v>
      </c>
      <c r="C9" s="13" t="s">
        <v>156</v>
      </c>
      <c r="D9" s="13" t="s">
        <v>157</v>
      </c>
      <c r="E9" s="13" t="s">
        <v>158</v>
      </c>
    </row>
    <row r="10" spans="1:5" x14ac:dyDescent="0.25">
      <c r="B10" s="13" t="s">
        <v>159</v>
      </c>
      <c r="C10" s="13" t="s">
        <v>154</v>
      </c>
      <c r="D10" s="14">
        <v>45877</v>
      </c>
      <c r="E10" s="16">
        <v>1</v>
      </c>
    </row>
    <row r="11" spans="1:5" x14ac:dyDescent="0.25">
      <c r="B11" s="13" t="s">
        <v>160</v>
      </c>
      <c r="C11" s="13" t="s">
        <v>155</v>
      </c>
      <c r="D11" s="14">
        <v>32495</v>
      </c>
      <c r="E11" s="16">
        <v>0.5</v>
      </c>
    </row>
    <row r="12" spans="1:5" x14ac:dyDescent="0.25">
      <c r="B12" s="13" t="s">
        <v>161</v>
      </c>
      <c r="C12" s="13" t="s">
        <v>155</v>
      </c>
      <c r="D12" s="14">
        <v>35087</v>
      </c>
      <c r="E12" s="16">
        <v>0.5</v>
      </c>
    </row>
    <row r="13" spans="1:5" x14ac:dyDescent="0.25">
      <c r="B13" s="13" t="s">
        <v>162</v>
      </c>
      <c r="C13" s="13" t="s">
        <v>154</v>
      </c>
      <c r="D13" s="14">
        <v>42564</v>
      </c>
      <c r="E13" s="16">
        <v>1</v>
      </c>
    </row>
    <row r="14" spans="1:5" x14ac:dyDescent="0.25">
      <c r="B14" s="13" t="s">
        <v>163</v>
      </c>
      <c r="C14" s="13" t="s">
        <v>154</v>
      </c>
      <c r="D14" s="14">
        <v>37732</v>
      </c>
      <c r="E14" s="1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2B7B-0095-473B-AD5B-5184044AA127}">
  <dimension ref="A1:D24"/>
  <sheetViews>
    <sheetView topLeftCell="A7" workbookViewId="0">
      <selection activeCell="D28" sqref="D28"/>
    </sheetView>
  </sheetViews>
  <sheetFormatPr defaultRowHeight="15" x14ac:dyDescent="0.25"/>
  <cols>
    <col min="1" max="1" width="65.28515625" bestFit="1" customWidth="1"/>
    <col min="2" max="2" width="10.28515625" bestFit="1" customWidth="1"/>
    <col min="3" max="3" width="9.28515625" customWidth="1"/>
  </cols>
  <sheetData>
    <row r="1" spans="1:4" x14ac:dyDescent="0.25">
      <c r="A1" t="s">
        <v>164</v>
      </c>
    </row>
    <row r="2" spans="1:4" x14ac:dyDescent="0.25">
      <c r="A2">
        <f>A112</f>
        <v>0</v>
      </c>
      <c r="C2" t="s">
        <v>170</v>
      </c>
    </row>
    <row r="3" spans="1:4" x14ac:dyDescent="0.25">
      <c r="A3" t="s">
        <v>165</v>
      </c>
      <c r="C3" t="s">
        <v>171</v>
      </c>
    </row>
    <row r="4" spans="1:4" x14ac:dyDescent="0.25">
      <c r="A4" t="s">
        <v>166</v>
      </c>
      <c r="C4" t="s">
        <v>172</v>
      </c>
    </row>
    <row r="5" spans="1:4" x14ac:dyDescent="0.25">
      <c r="A5" t="s">
        <v>167</v>
      </c>
      <c r="C5" t="s">
        <v>173</v>
      </c>
    </row>
    <row r="6" spans="1:4" x14ac:dyDescent="0.25">
      <c r="A6" t="s">
        <v>168</v>
      </c>
      <c r="C6" t="s">
        <v>174</v>
      </c>
    </row>
    <row r="7" spans="1:4" x14ac:dyDescent="0.25">
      <c r="A7" t="s">
        <v>169</v>
      </c>
      <c r="C7" t="s">
        <v>175</v>
      </c>
    </row>
    <row r="10" spans="1:4" x14ac:dyDescent="0.25">
      <c r="A10" t="s">
        <v>176</v>
      </c>
    </row>
    <row r="11" spans="1:4" x14ac:dyDescent="0.25">
      <c r="A11">
        <v>2</v>
      </c>
      <c r="B11" t="s">
        <v>171</v>
      </c>
      <c r="C11">
        <v>3</v>
      </c>
      <c r="D11" s="1">
        <v>5</v>
      </c>
    </row>
    <row r="12" spans="1:4" x14ac:dyDescent="0.25">
      <c r="A12">
        <v>6</v>
      </c>
      <c r="B12" t="s">
        <v>172</v>
      </c>
      <c r="C12">
        <v>1</v>
      </c>
      <c r="D12" s="1">
        <v>5</v>
      </c>
    </row>
    <row r="13" spans="1:4" x14ac:dyDescent="0.25">
      <c r="A13">
        <v>5</v>
      </c>
      <c r="B13" t="s">
        <v>177</v>
      </c>
      <c r="C13">
        <v>10</v>
      </c>
      <c r="D13" s="1">
        <v>50</v>
      </c>
    </row>
    <row r="14" spans="1:4" x14ac:dyDescent="0.25">
      <c r="A14">
        <v>14</v>
      </c>
      <c r="B14" t="s">
        <v>178</v>
      </c>
      <c r="C14">
        <v>2</v>
      </c>
      <c r="D14" s="1">
        <v>7</v>
      </c>
    </row>
    <row r="16" spans="1:4" x14ac:dyDescent="0.25">
      <c r="A16" t="s">
        <v>179</v>
      </c>
    </row>
    <row r="17" spans="1:4" x14ac:dyDescent="0.25">
      <c r="A17">
        <v>10</v>
      </c>
      <c r="B17" t="s">
        <v>180</v>
      </c>
      <c r="C17">
        <v>100</v>
      </c>
      <c r="D17" s="17">
        <v>0.1</v>
      </c>
    </row>
    <row r="18" spans="1:4" x14ac:dyDescent="0.25">
      <c r="A18">
        <v>3</v>
      </c>
      <c r="B18" t="s">
        <v>180</v>
      </c>
      <c r="C18">
        <v>6</v>
      </c>
      <c r="D18" s="17">
        <v>0.5</v>
      </c>
    </row>
    <row r="19" spans="1:4" x14ac:dyDescent="0.25">
      <c r="A19">
        <v>1.5</v>
      </c>
      <c r="B19" t="s">
        <v>180</v>
      </c>
      <c r="C19">
        <v>1</v>
      </c>
      <c r="D19" s="17">
        <v>1.5</v>
      </c>
    </row>
    <row r="21" spans="1:4" x14ac:dyDescent="0.25">
      <c r="A21" t="s">
        <v>185</v>
      </c>
    </row>
    <row r="22" spans="1:4" x14ac:dyDescent="0.25">
      <c r="A22" t="s">
        <v>181</v>
      </c>
      <c r="B22" t="s">
        <v>182</v>
      </c>
      <c r="C22" t="s">
        <v>183</v>
      </c>
      <c r="D22" t="s">
        <v>184</v>
      </c>
    </row>
    <row r="23" spans="1:4" x14ac:dyDescent="0.25">
      <c r="A23" t="s">
        <v>186</v>
      </c>
      <c r="B23">
        <v>100</v>
      </c>
      <c r="C23">
        <v>150</v>
      </c>
      <c r="D23" s="17">
        <v>0.5</v>
      </c>
    </row>
    <row r="24" spans="1:4" x14ac:dyDescent="0.25">
      <c r="A24" t="s">
        <v>187</v>
      </c>
      <c r="B24">
        <v>100</v>
      </c>
      <c r="C24">
        <v>50</v>
      </c>
      <c r="D24" s="17">
        <v>-0.5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73AD-70EE-44A6-9E87-9949A8E50C3F}">
  <dimension ref="A1:J15"/>
  <sheetViews>
    <sheetView workbookViewId="0">
      <selection activeCell="J15" sqref="J15"/>
    </sheetView>
  </sheetViews>
  <sheetFormatPr defaultRowHeight="15" x14ac:dyDescent="0.25"/>
  <cols>
    <col min="1" max="1" width="11.28515625" customWidth="1"/>
  </cols>
  <sheetData>
    <row r="1" spans="1:10" x14ac:dyDescent="0.25">
      <c r="A1" t="s">
        <v>188</v>
      </c>
    </row>
    <row r="3" spans="1:10" x14ac:dyDescent="0.25">
      <c r="B3" t="s">
        <v>189</v>
      </c>
    </row>
    <row r="5" spans="1:10" x14ac:dyDescent="0.25">
      <c r="B5" s="13" t="s">
        <v>4</v>
      </c>
      <c r="C5" s="13" t="s">
        <v>5</v>
      </c>
    </row>
    <row r="6" spans="1:10" x14ac:dyDescent="0.25">
      <c r="B6" s="13" t="s">
        <v>190</v>
      </c>
      <c r="C6" s="13">
        <v>156</v>
      </c>
    </row>
    <row r="7" spans="1:10" x14ac:dyDescent="0.25">
      <c r="B7" s="13" t="s">
        <v>191</v>
      </c>
      <c r="C7" s="13">
        <v>150</v>
      </c>
    </row>
    <row r="8" spans="1:10" x14ac:dyDescent="0.25">
      <c r="B8" s="13" t="s">
        <v>192</v>
      </c>
      <c r="C8" s="13">
        <v>180</v>
      </c>
    </row>
    <row r="9" spans="1:10" x14ac:dyDescent="0.25">
      <c r="B9" s="13" t="s">
        <v>193</v>
      </c>
      <c r="C9" s="13">
        <v>200</v>
      </c>
    </row>
    <row r="11" spans="1:10" x14ac:dyDescent="0.25">
      <c r="A11">
        <v>1</v>
      </c>
      <c r="B11" t="s">
        <v>194</v>
      </c>
      <c r="J11" s="1">
        <f>MAX(C6:C9)</f>
        <v>200</v>
      </c>
    </row>
    <row r="13" spans="1:10" x14ac:dyDescent="0.25">
      <c r="A13">
        <v>2</v>
      </c>
      <c r="B13" t="s">
        <v>195</v>
      </c>
      <c r="J13" s="1">
        <f>MIN(C6:C9)</f>
        <v>150</v>
      </c>
    </row>
    <row r="15" spans="1:10" x14ac:dyDescent="0.25">
      <c r="A15">
        <v>3</v>
      </c>
      <c r="B15" t="s">
        <v>196</v>
      </c>
      <c r="J15" s="1">
        <f>AVERAGE(C6:C9)</f>
        <v>171.5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5FDE-4279-4B59-8713-42B409516566}">
  <dimension ref="A1:E15"/>
  <sheetViews>
    <sheetView workbookViewId="0">
      <selection activeCell="F6" sqref="F6"/>
    </sheetView>
  </sheetViews>
  <sheetFormatPr defaultRowHeight="15" x14ac:dyDescent="0.25"/>
  <sheetData>
    <row r="1" spans="1:5" x14ac:dyDescent="0.25">
      <c r="A1" t="s">
        <v>197</v>
      </c>
    </row>
    <row r="2" spans="1:5" x14ac:dyDescent="0.25">
      <c r="A2" t="s">
        <v>198</v>
      </c>
    </row>
    <row r="3" spans="1:5" x14ac:dyDescent="0.25">
      <c r="A3" t="s">
        <v>199</v>
      </c>
    </row>
    <row r="5" spans="1:5" x14ac:dyDescent="0.25">
      <c r="A5" s="18" t="s">
        <v>4</v>
      </c>
      <c r="B5" s="18" t="s">
        <v>200</v>
      </c>
      <c r="C5" s="18" t="s">
        <v>201</v>
      </c>
      <c r="D5" s="18" t="s">
        <v>202</v>
      </c>
      <c r="E5" s="18" t="s">
        <v>203</v>
      </c>
    </row>
    <row r="6" spans="1:5" x14ac:dyDescent="0.25">
      <c r="A6" s="19" t="s">
        <v>6</v>
      </c>
      <c r="B6" s="19">
        <v>50</v>
      </c>
      <c r="C6" s="19">
        <v>60</v>
      </c>
      <c r="D6" s="19">
        <v>70</v>
      </c>
      <c r="E6" s="21" t="s">
        <v>204</v>
      </c>
    </row>
    <row r="7" spans="1:5" x14ac:dyDescent="0.25">
      <c r="A7" s="19" t="s">
        <v>7</v>
      </c>
      <c r="B7" s="19">
        <v>30</v>
      </c>
      <c r="C7" s="19">
        <v>55</v>
      </c>
      <c r="D7" s="19">
        <v>65</v>
      </c>
      <c r="E7" s="21" t="s">
        <v>205</v>
      </c>
    </row>
    <row r="8" spans="1:5" x14ac:dyDescent="0.25">
      <c r="A8" s="19" t="s">
        <v>8</v>
      </c>
      <c r="B8" s="19">
        <v>40</v>
      </c>
      <c r="C8" s="19">
        <v>40</v>
      </c>
      <c r="D8" s="19">
        <v>40</v>
      </c>
      <c r="E8" s="21" t="s">
        <v>204</v>
      </c>
    </row>
    <row r="9" spans="1:5" x14ac:dyDescent="0.25">
      <c r="A9" s="19" t="s">
        <v>9</v>
      </c>
      <c r="B9" s="19">
        <v>80</v>
      </c>
      <c r="C9" s="19">
        <v>20</v>
      </c>
      <c r="D9" s="19">
        <v>90</v>
      </c>
      <c r="E9" s="21" t="s">
        <v>205</v>
      </c>
    </row>
    <row r="13" spans="1:5" x14ac:dyDescent="0.25">
      <c r="A13" s="20"/>
    </row>
    <row r="14" spans="1:5" x14ac:dyDescent="0.25">
      <c r="A14" s="20"/>
    </row>
    <row r="15" spans="1:5" x14ac:dyDescent="0.25">
      <c r="A15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E98E-3984-44DC-8130-E43F96A2FC0E}">
  <dimension ref="A1:C10"/>
  <sheetViews>
    <sheetView workbookViewId="0">
      <selection activeCell="E12" sqref="E12"/>
    </sheetView>
  </sheetViews>
  <sheetFormatPr defaultRowHeight="15" x14ac:dyDescent="0.25"/>
  <sheetData>
    <row r="1" spans="1:3" x14ac:dyDescent="0.25">
      <c r="A1" t="s">
        <v>206</v>
      </c>
    </row>
    <row r="2" spans="1:3" x14ac:dyDescent="0.25">
      <c r="C2" t="s">
        <v>207</v>
      </c>
    </row>
    <row r="3" spans="1:3" x14ac:dyDescent="0.25">
      <c r="A3" t="s">
        <v>6</v>
      </c>
      <c r="C3">
        <v>90</v>
      </c>
    </row>
    <row r="4" spans="1:3" x14ac:dyDescent="0.25">
      <c r="A4" t="s">
        <v>7</v>
      </c>
      <c r="C4">
        <v>95</v>
      </c>
    </row>
    <row r="5" spans="1:3" x14ac:dyDescent="0.25">
      <c r="A5" t="s">
        <v>8</v>
      </c>
      <c r="C5">
        <v>100</v>
      </c>
    </row>
    <row r="6" spans="1:3" x14ac:dyDescent="0.25">
      <c r="A6" t="s">
        <v>9</v>
      </c>
      <c r="C6">
        <v>85</v>
      </c>
    </row>
    <row r="7" spans="1:3" x14ac:dyDescent="0.25">
      <c r="A7" t="s">
        <v>10</v>
      </c>
      <c r="C7">
        <v>80</v>
      </c>
    </row>
    <row r="8" spans="1:3" x14ac:dyDescent="0.25">
      <c r="A8" t="s">
        <v>11</v>
      </c>
      <c r="C8">
        <v>70</v>
      </c>
    </row>
    <row r="10" spans="1:3" x14ac:dyDescent="0.25">
      <c r="C10" s="1" t="str">
        <f>IF(MAX(C3:C8)&gt;=99,"easy","not easy")</f>
        <v>easy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6F45-B962-41A3-88F8-C841585E3F69}">
  <dimension ref="A1:D11"/>
  <sheetViews>
    <sheetView workbookViewId="0">
      <selection activeCell="D23" sqref="D23"/>
    </sheetView>
  </sheetViews>
  <sheetFormatPr defaultRowHeight="15" x14ac:dyDescent="0.25"/>
  <cols>
    <col min="2" max="2" width="50.140625" bestFit="1" customWidth="1"/>
    <col min="4" max="4" width="21.42578125" bestFit="1" customWidth="1"/>
  </cols>
  <sheetData>
    <row r="1" spans="1:4" x14ac:dyDescent="0.25">
      <c r="A1" s="22"/>
      <c r="B1" t="s">
        <v>208</v>
      </c>
    </row>
    <row r="3" spans="1:4" x14ac:dyDescent="0.25">
      <c r="B3" t="s">
        <v>209</v>
      </c>
    </row>
    <row r="4" spans="1:4" x14ac:dyDescent="0.25">
      <c r="B4" t="s">
        <v>210</v>
      </c>
    </row>
    <row r="5" spans="1:4" x14ac:dyDescent="0.25">
      <c r="B5" t="s">
        <v>211</v>
      </c>
    </row>
    <row r="7" spans="1:4" x14ac:dyDescent="0.25">
      <c r="B7" t="s">
        <v>217</v>
      </c>
      <c r="C7" s="7" t="s">
        <v>122</v>
      </c>
      <c r="D7" s="7" t="s">
        <v>216</v>
      </c>
    </row>
    <row r="8" spans="1:4" x14ac:dyDescent="0.25">
      <c r="B8" t="s">
        <v>212</v>
      </c>
      <c r="C8">
        <v>75</v>
      </c>
      <c r="D8" s="1" t="str">
        <f>IF(C8&gt;=80, "Excellent",IF(C8&gt;=60,"Good","Failed"))</f>
        <v>Good</v>
      </c>
    </row>
    <row r="9" spans="1:4" x14ac:dyDescent="0.25">
      <c r="B9" t="s">
        <v>213</v>
      </c>
      <c r="C9">
        <v>85</v>
      </c>
      <c r="D9" s="1" t="str">
        <f t="shared" ref="D9:D11" si="0">IF(C9&gt;=80, "Excellent",IF(C9&gt;=60,"Good","Failed"))</f>
        <v>Excellent</v>
      </c>
    </row>
    <row r="10" spans="1:4" x14ac:dyDescent="0.25">
      <c r="B10" t="s">
        <v>214</v>
      </c>
      <c r="C10">
        <v>45</v>
      </c>
      <c r="D10" s="1" t="str">
        <f t="shared" si="0"/>
        <v>Failed</v>
      </c>
    </row>
    <row r="11" spans="1:4" x14ac:dyDescent="0.25">
      <c r="B11" t="s">
        <v>215</v>
      </c>
      <c r="C11">
        <v>61</v>
      </c>
      <c r="D11" s="1" t="str">
        <f t="shared" si="0"/>
        <v>Good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ABB2-8082-41D7-BCA5-6796BE0090D0}">
  <dimension ref="A1:C19"/>
  <sheetViews>
    <sheetView workbookViewId="0">
      <selection activeCell="E18" sqref="E18"/>
    </sheetView>
  </sheetViews>
  <sheetFormatPr defaultRowHeight="15" x14ac:dyDescent="0.25"/>
  <cols>
    <col min="2" max="2" width="10.85546875" bestFit="1" customWidth="1"/>
    <col min="3" max="3" width="16" bestFit="1" customWidth="1"/>
  </cols>
  <sheetData>
    <row r="1" spans="1:3" x14ac:dyDescent="0.25">
      <c r="A1" t="s">
        <v>218</v>
      </c>
    </row>
    <row r="2" spans="1:3" x14ac:dyDescent="0.25">
      <c r="A2" t="s">
        <v>219</v>
      </c>
    </row>
    <row r="6" spans="1:3" x14ac:dyDescent="0.25">
      <c r="B6" s="7" t="s">
        <v>220</v>
      </c>
      <c r="C6" t="s">
        <v>234</v>
      </c>
    </row>
    <row r="7" spans="1:3" x14ac:dyDescent="0.25">
      <c r="B7" t="s">
        <v>221</v>
      </c>
      <c r="C7">
        <v>564</v>
      </c>
    </row>
    <row r="8" spans="1:3" x14ac:dyDescent="0.25">
      <c r="B8" t="s">
        <v>222</v>
      </c>
      <c r="C8">
        <v>200</v>
      </c>
    </row>
    <row r="9" spans="1:3" x14ac:dyDescent="0.25">
      <c r="B9" t="s">
        <v>223</v>
      </c>
      <c r="C9">
        <v>50</v>
      </c>
    </row>
    <row r="10" spans="1:3" x14ac:dyDescent="0.25">
      <c r="B10" t="s">
        <v>224</v>
      </c>
      <c r="C10">
        <v>432</v>
      </c>
    </row>
    <row r="11" spans="1:3" x14ac:dyDescent="0.25">
      <c r="B11" t="s">
        <v>225</v>
      </c>
      <c r="C11">
        <v>400</v>
      </c>
    </row>
    <row r="12" spans="1:3" x14ac:dyDescent="0.25">
      <c r="B12" t="s">
        <v>226</v>
      </c>
      <c r="C12">
        <v>60</v>
      </c>
    </row>
    <row r="13" spans="1:3" x14ac:dyDescent="0.25">
      <c r="B13" t="s">
        <v>227</v>
      </c>
      <c r="C13">
        <v>700</v>
      </c>
    </row>
    <row r="14" spans="1:3" x14ac:dyDescent="0.25">
      <c r="B14" t="s">
        <v>228</v>
      </c>
      <c r="C14">
        <v>450</v>
      </c>
    </row>
    <row r="15" spans="1:3" x14ac:dyDescent="0.25">
      <c r="B15" t="s">
        <v>229</v>
      </c>
      <c r="C15">
        <v>603</v>
      </c>
    </row>
    <row r="16" spans="1:3" x14ac:dyDescent="0.25">
      <c r="B16" t="s">
        <v>230</v>
      </c>
      <c r="C16">
        <v>678</v>
      </c>
    </row>
    <row r="17" spans="2:3" x14ac:dyDescent="0.25">
      <c r="B17" t="s">
        <v>231</v>
      </c>
      <c r="C17">
        <v>298</v>
      </c>
    </row>
    <row r="18" spans="2:3" x14ac:dyDescent="0.25">
      <c r="B18" t="s">
        <v>232</v>
      </c>
      <c r="C18">
        <v>543</v>
      </c>
    </row>
    <row r="19" spans="2:3" x14ac:dyDescent="0.25">
      <c r="B19" t="s">
        <v>233</v>
      </c>
      <c r="C19" s="1">
        <f>SUM(C7:C18)</f>
        <v>4978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9F8B-7F28-43C5-8A1E-73FEA9CFE945}">
  <dimension ref="A1:E99"/>
  <sheetViews>
    <sheetView topLeftCell="A35" zoomScale="130" zoomScaleNormal="130" workbookViewId="0">
      <selection activeCell="G9" sqref="G9"/>
    </sheetView>
  </sheetViews>
  <sheetFormatPr defaultRowHeight="15" x14ac:dyDescent="0.25"/>
  <cols>
    <col min="2" max="2" width="10.7109375" bestFit="1" customWidth="1"/>
  </cols>
  <sheetData>
    <row r="1" spans="1:5" x14ac:dyDescent="0.25">
      <c r="A1" t="s">
        <v>235</v>
      </c>
      <c r="E1" t="s">
        <v>236</v>
      </c>
    </row>
    <row r="2" spans="1:5" x14ac:dyDescent="0.25">
      <c r="A2" t="s">
        <v>237</v>
      </c>
    </row>
    <row r="5" spans="1:5" x14ac:dyDescent="0.25">
      <c r="B5" s="26" t="s">
        <v>99</v>
      </c>
      <c r="C5" s="1" t="s">
        <v>238</v>
      </c>
      <c r="D5" s="1" t="s">
        <v>239</v>
      </c>
    </row>
    <row r="6" spans="1:5" x14ac:dyDescent="0.25">
      <c r="B6" s="27">
        <v>42005</v>
      </c>
      <c r="C6" s="19" t="s">
        <v>241</v>
      </c>
      <c r="D6" s="19">
        <v>100</v>
      </c>
    </row>
    <row r="7" spans="1:5" x14ac:dyDescent="0.25">
      <c r="B7" s="24">
        <v>42006</v>
      </c>
      <c r="C7" t="s">
        <v>242</v>
      </c>
      <c r="D7">
        <v>120</v>
      </c>
    </row>
    <row r="8" spans="1:5" x14ac:dyDescent="0.25">
      <c r="B8" s="24">
        <v>42007</v>
      </c>
      <c r="C8" t="s">
        <v>243</v>
      </c>
      <c r="D8">
        <v>90</v>
      </c>
    </row>
    <row r="9" spans="1:5" x14ac:dyDescent="0.25">
      <c r="B9" s="24">
        <v>42008</v>
      </c>
      <c r="C9" t="s">
        <v>244</v>
      </c>
      <c r="D9">
        <v>80</v>
      </c>
    </row>
    <row r="10" spans="1:5" x14ac:dyDescent="0.25">
      <c r="B10" s="24">
        <v>42009</v>
      </c>
      <c r="C10" t="s">
        <v>245</v>
      </c>
      <c r="D10">
        <v>110</v>
      </c>
    </row>
    <row r="11" spans="1:5" x14ac:dyDescent="0.25">
      <c r="B11" s="25">
        <v>42010</v>
      </c>
      <c r="C11" t="s">
        <v>246</v>
      </c>
      <c r="D11">
        <v>95</v>
      </c>
    </row>
    <row r="12" spans="1:5" x14ac:dyDescent="0.25">
      <c r="B12" s="25">
        <v>42011</v>
      </c>
      <c r="C12" t="s">
        <v>247</v>
      </c>
      <c r="D12">
        <v>105</v>
      </c>
    </row>
    <row r="13" spans="1:5" x14ac:dyDescent="0.25">
      <c r="B13" s="25">
        <v>42012</v>
      </c>
      <c r="C13" t="s">
        <v>241</v>
      </c>
      <c r="D13">
        <v>115</v>
      </c>
    </row>
    <row r="14" spans="1:5" x14ac:dyDescent="0.25">
      <c r="B14" s="25">
        <v>42013</v>
      </c>
      <c r="C14" t="s">
        <v>242</v>
      </c>
      <c r="D14">
        <v>130</v>
      </c>
    </row>
    <row r="15" spans="1:5" x14ac:dyDescent="0.25">
      <c r="B15" s="25">
        <v>42014</v>
      </c>
      <c r="C15" t="s">
        <v>243</v>
      </c>
      <c r="D15">
        <v>85</v>
      </c>
    </row>
    <row r="16" spans="1:5" x14ac:dyDescent="0.25">
      <c r="B16" s="25">
        <v>42015</v>
      </c>
      <c r="C16" t="s">
        <v>244</v>
      </c>
      <c r="D16">
        <v>75</v>
      </c>
    </row>
    <row r="17" spans="2:4" x14ac:dyDescent="0.25">
      <c r="B17" s="25">
        <v>42016</v>
      </c>
      <c r="C17" t="s">
        <v>245</v>
      </c>
      <c r="D17">
        <v>140</v>
      </c>
    </row>
    <row r="18" spans="2:4" x14ac:dyDescent="0.25">
      <c r="B18" s="25">
        <v>42017</v>
      </c>
      <c r="C18" t="s">
        <v>246</v>
      </c>
      <c r="D18">
        <v>150</v>
      </c>
    </row>
    <row r="19" spans="2:4" x14ac:dyDescent="0.25">
      <c r="B19" s="25">
        <v>42018</v>
      </c>
      <c r="C19" t="s">
        <v>247</v>
      </c>
      <c r="D19">
        <v>160</v>
      </c>
    </row>
    <row r="20" spans="2:4" x14ac:dyDescent="0.25">
      <c r="B20" s="25">
        <v>42019</v>
      </c>
      <c r="C20" t="s">
        <v>241</v>
      </c>
      <c r="D20">
        <v>170</v>
      </c>
    </row>
    <row r="21" spans="2:4" x14ac:dyDescent="0.25">
      <c r="B21" s="25">
        <v>42020</v>
      </c>
      <c r="C21" t="s">
        <v>242</v>
      </c>
      <c r="D21">
        <v>180</v>
      </c>
    </row>
    <row r="22" spans="2:4" x14ac:dyDescent="0.25">
      <c r="B22" s="25">
        <v>42021</v>
      </c>
      <c r="C22" t="s">
        <v>243</v>
      </c>
      <c r="D22">
        <v>190</v>
      </c>
    </row>
    <row r="23" spans="2:4" x14ac:dyDescent="0.25">
      <c r="B23" s="25">
        <v>42022</v>
      </c>
      <c r="C23" t="s">
        <v>244</v>
      </c>
      <c r="D23">
        <v>200</v>
      </c>
    </row>
    <row r="24" spans="2:4" x14ac:dyDescent="0.25">
      <c r="B24" s="25">
        <v>42023</v>
      </c>
      <c r="C24" t="s">
        <v>245</v>
      </c>
      <c r="D24">
        <v>210</v>
      </c>
    </row>
    <row r="25" spans="2:4" x14ac:dyDescent="0.25">
      <c r="B25" s="25">
        <v>42024</v>
      </c>
      <c r="C25" t="s">
        <v>246</v>
      </c>
      <c r="D25">
        <v>220</v>
      </c>
    </row>
    <row r="26" spans="2:4" x14ac:dyDescent="0.25">
      <c r="B26" s="25">
        <v>42025</v>
      </c>
      <c r="C26" t="s">
        <v>247</v>
      </c>
      <c r="D26">
        <v>230</v>
      </c>
    </row>
    <row r="27" spans="2:4" x14ac:dyDescent="0.25">
      <c r="B27" s="25">
        <v>42026</v>
      </c>
      <c r="C27" t="s">
        <v>241</v>
      </c>
      <c r="D27">
        <v>240</v>
      </c>
    </row>
    <row r="28" spans="2:4" x14ac:dyDescent="0.25">
      <c r="B28" s="25">
        <v>42027</v>
      </c>
      <c r="C28" t="s">
        <v>242</v>
      </c>
      <c r="D28">
        <v>250</v>
      </c>
    </row>
    <row r="29" spans="2:4" x14ac:dyDescent="0.25">
      <c r="B29" s="25">
        <v>42028</v>
      </c>
      <c r="C29" t="s">
        <v>243</v>
      </c>
      <c r="D29">
        <v>260</v>
      </c>
    </row>
    <row r="30" spans="2:4" x14ac:dyDescent="0.25">
      <c r="B30" s="25">
        <v>42029</v>
      </c>
      <c r="C30" t="s">
        <v>244</v>
      </c>
      <c r="D30">
        <v>270</v>
      </c>
    </row>
    <row r="31" spans="2:4" x14ac:dyDescent="0.25">
      <c r="B31" s="25">
        <v>42030</v>
      </c>
      <c r="C31" t="s">
        <v>245</v>
      </c>
      <c r="D31">
        <v>280</v>
      </c>
    </row>
    <row r="32" spans="2:4" x14ac:dyDescent="0.25">
      <c r="B32" s="25">
        <v>42031</v>
      </c>
      <c r="C32" t="s">
        <v>246</v>
      </c>
      <c r="D32">
        <v>290</v>
      </c>
    </row>
    <row r="33" spans="2:4" x14ac:dyDescent="0.25">
      <c r="B33" s="25">
        <v>42032</v>
      </c>
      <c r="C33" t="s">
        <v>247</v>
      </c>
      <c r="D33">
        <v>300</v>
      </c>
    </row>
    <row r="34" spans="2:4" x14ac:dyDescent="0.25">
      <c r="B34" s="25">
        <v>42033</v>
      </c>
      <c r="C34" t="s">
        <v>241</v>
      </c>
      <c r="D34">
        <v>310</v>
      </c>
    </row>
    <row r="35" spans="2:4" x14ac:dyDescent="0.25">
      <c r="B35" s="25">
        <v>42034</v>
      </c>
      <c r="C35" t="s">
        <v>242</v>
      </c>
      <c r="D35">
        <v>320</v>
      </c>
    </row>
    <row r="36" spans="2:4" x14ac:dyDescent="0.25">
      <c r="B36" s="25">
        <v>42035</v>
      </c>
      <c r="C36" t="s">
        <v>243</v>
      </c>
      <c r="D36">
        <v>330</v>
      </c>
    </row>
    <row r="37" spans="2:4" x14ac:dyDescent="0.25">
      <c r="B37" s="25"/>
    </row>
    <row r="38" spans="2:4" x14ac:dyDescent="0.25">
      <c r="B38" s="25">
        <v>42036</v>
      </c>
      <c r="C38" t="s">
        <v>244</v>
      </c>
      <c r="D38">
        <v>100</v>
      </c>
    </row>
    <row r="39" spans="2:4" x14ac:dyDescent="0.25">
      <c r="B39" s="25">
        <v>42037</v>
      </c>
      <c r="C39" t="s">
        <v>245</v>
      </c>
      <c r="D39">
        <v>110</v>
      </c>
    </row>
    <row r="40" spans="2:4" x14ac:dyDescent="0.25">
      <c r="B40" s="25">
        <v>42038</v>
      </c>
      <c r="C40" t="s">
        <v>246</v>
      </c>
      <c r="D40">
        <v>120</v>
      </c>
    </row>
    <row r="41" spans="2:4" x14ac:dyDescent="0.25">
      <c r="B41" s="25">
        <v>42039</v>
      </c>
      <c r="C41" t="s">
        <v>247</v>
      </c>
      <c r="D41">
        <v>130</v>
      </c>
    </row>
    <row r="42" spans="2:4" x14ac:dyDescent="0.25">
      <c r="B42" s="25">
        <v>42040</v>
      </c>
      <c r="C42" t="s">
        <v>241</v>
      </c>
      <c r="D42">
        <v>140</v>
      </c>
    </row>
    <row r="43" spans="2:4" x14ac:dyDescent="0.25">
      <c r="B43" s="25">
        <v>42041</v>
      </c>
      <c r="C43" t="s">
        <v>242</v>
      </c>
      <c r="D43">
        <v>150</v>
      </c>
    </row>
    <row r="44" spans="2:4" x14ac:dyDescent="0.25">
      <c r="B44" s="25">
        <v>42042</v>
      </c>
      <c r="C44" t="s">
        <v>243</v>
      </c>
      <c r="D44">
        <v>160</v>
      </c>
    </row>
    <row r="45" spans="2:4" x14ac:dyDescent="0.25">
      <c r="B45" s="25">
        <v>42043</v>
      </c>
      <c r="C45" t="s">
        <v>244</v>
      </c>
      <c r="D45">
        <v>170</v>
      </c>
    </row>
    <row r="46" spans="2:4" x14ac:dyDescent="0.25">
      <c r="B46" s="25">
        <v>42044</v>
      </c>
      <c r="C46" t="s">
        <v>245</v>
      </c>
      <c r="D46">
        <v>180</v>
      </c>
    </row>
    <row r="47" spans="2:4" x14ac:dyDescent="0.25">
      <c r="B47" s="25">
        <v>42045</v>
      </c>
      <c r="C47" t="s">
        <v>246</v>
      </c>
      <c r="D47">
        <v>190</v>
      </c>
    </row>
    <row r="48" spans="2:4" x14ac:dyDescent="0.25">
      <c r="B48" s="25">
        <v>42046</v>
      </c>
      <c r="C48" t="s">
        <v>247</v>
      </c>
      <c r="D48">
        <v>200</v>
      </c>
    </row>
    <row r="49" spans="2:4" x14ac:dyDescent="0.25">
      <c r="B49" s="25">
        <v>42047</v>
      </c>
      <c r="C49" t="s">
        <v>241</v>
      </c>
      <c r="D49">
        <v>210</v>
      </c>
    </row>
    <row r="50" spans="2:4" x14ac:dyDescent="0.25">
      <c r="B50" s="25">
        <v>42048</v>
      </c>
      <c r="C50" t="s">
        <v>242</v>
      </c>
      <c r="D50">
        <v>220</v>
      </c>
    </row>
    <row r="51" spans="2:4" x14ac:dyDescent="0.25">
      <c r="B51" s="25">
        <v>42049</v>
      </c>
      <c r="C51" t="s">
        <v>243</v>
      </c>
      <c r="D51">
        <v>230</v>
      </c>
    </row>
    <row r="52" spans="2:4" x14ac:dyDescent="0.25">
      <c r="B52" s="25">
        <v>42050</v>
      </c>
      <c r="C52" t="s">
        <v>244</v>
      </c>
      <c r="D52">
        <v>240</v>
      </c>
    </row>
    <row r="53" spans="2:4" x14ac:dyDescent="0.25">
      <c r="B53" s="25">
        <v>42051</v>
      </c>
      <c r="C53" t="s">
        <v>245</v>
      </c>
      <c r="D53">
        <v>250</v>
      </c>
    </row>
    <row r="54" spans="2:4" x14ac:dyDescent="0.25">
      <c r="B54" s="25">
        <v>42052</v>
      </c>
      <c r="C54" t="s">
        <v>246</v>
      </c>
      <c r="D54">
        <v>260</v>
      </c>
    </row>
    <row r="55" spans="2:4" x14ac:dyDescent="0.25">
      <c r="B55" s="25">
        <v>42053</v>
      </c>
      <c r="C55" t="s">
        <v>247</v>
      </c>
      <c r="D55">
        <v>270</v>
      </c>
    </row>
    <row r="56" spans="2:4" x14ac:dyDescent="0.25">
      <c r="B56" s="25">
        <v>42054</v>
      </c>
      <c r="C56" t="s">
        <v>241</v>
      </c>
      <c r="D56">
        <v>280</v>
      </c>
    </row>
    <row r="57" spans="2:4" x14ac:dyDescent="0.25">
      <c r="B57" s="25">
        <v>42055</v>
      </c>
      <c r="C57" t="s">
        <v>242</v>
      </c>
      <c r="D57">
        <v>290</v>
      </c>
    </row>
    <row r="58" spans="2:4" x14ac:dyDescent="0.25">
      <c r="B58" s="25">
        <v>42056</v>
      </c>
      <c r="C58" t="s">
        <v>243</v>
      </c>
      <c r="D58">
        <v>300</v>
      </c>
    </row>
    <row r="59" spans="2:4" x14ac:dyDescent="0.25">
      <c r="B59" s="25">
        <v>42057</v>
      </c>
      <c r="C59" t="s">
        <v>244</v>
      </c>
      <c r="D59">
        <v>310</v>
      </c>
    </row>
    <row r="60" spans="2:4" x14ac:dyDescent="0.25">
      <c r="B60" s="25">
        <v>42058</v>
      </c>
      <c r="C60" t="s">
        <v>245</v>
      </c>
      <c r="D60">
        <v>320</v>
      </c>
    </row>
    <row r="61" spans="2:4" x14ac:dyDescent="0.25">
      <c r="B61" s="25">
        <v>42059</v>
      </c>
      <c r="C61" t="s">
        <v>246</v>
      </c>
      <c r="D61">
        <v>330</v>
      </c>
    </row>
    <row r="62" spans="2:4" x14ac:dyDescent="0.25">
      <c r="B62" s="25">
        <v>42060</v>
      </c>
      <c r="C62" t="s">
        <v>247</v>
      </c>
      <c r="D62">
        <v>340</v>
      </c>
    </row>
    <row r="63" spans="2:4" x14ac:dyDescent="0.25">
      <c r="B63" s="25">
        <v>42061</v>
      </c>
      <c r="C63" t="s">
        <v>241</v>
      </c>
      <c r="D63">
        <v>350</v>
      </c>
    </row>
    <row r="64" spans="2:4" x14ac:dyDescent="0.25">
      <c r="B64" s="25">
        <v>42062</v>
      </c>
      <c r="C64" t="s">
        <v>242</v>
      </c>
      <c r="D64">
        <v>360</v>
      </c>
    </row>
    <row r="65" spans="2:4" x14ac:dyDescent="0.25">
      <c r="B65" s="25">
        <v>42063</v>
      </c>
      <c r="C65" t="s">
        <v>243</v>
      </c>
      <c r="D65">
        <v>370</v>
      </c>
    </row>
    <row r="66" spans="2:4" x14ac:dyDescent="0.25">
      <c r="B66" s="25"/>
    </row>
    <row r="67" spans="2:4" x14ac:dyDescent="0.25">
      <c r="B67" s="25">
        <v>42064</v>
      </c>
      <c r="C67" t="s">
        <v>244</v>
      </c>
      <c r="D67">
        <v>200</v>
      </c>
    </row>
    <row r="68" spans="2:4" x14ac:dyDescent="0.25">
      <c r="B68" s="25">
        <v>42065</v>
      </c>
      <c r="C68" t="s">
        <v>245</v>
      </c>
      <c r="D68">
        <v>210</v>
      </c>
    </row>
    <row r="69" spans="2:4" x14ac:dyDescent="0.25">
      <c r="B69" s="25">
        <v>42066</v>
      </c>
      <c r="C69" t="s">
        <v>246</v>
      </c>
      <c r="D69">
        <v>220</v>
      </c>
    </row>
    <row r="70" spans="2:4" x14ac:dyDescent="0.25">
      <c r="B70" s="25">
        <v>42067</v>
      </c>
      <c r="C70" t="s">
        <v>247</v>
      </c>
      <c r="D70">
        <v>230</v>
      </c>
    </row>
    <row r="71" spans="2:4" x14ac:dyDescent="0.25">
      <c r="B71" s="25">
        <v>42068</v>
      </c>
      <c r="C71" t="s">
        <v>241</v>
      </c>
      <c r="D71">
        <v>240</v>
      </c>
    </row>
    <row r="72" spans="2:4" x14ac:dyDescent="0.25">
      <c r="B72" s="25">
        <v>42069</v>
      </c>
      <c r="C72" t="s">
        <v>242</v>
      </c>
      <c r="D72">
        <v>250</v>
      </c>
    </row>
    <row r="73" spans="2:4" x14ac:dyDescent="0.25">
      <c r="B73" s="25">
        <v>42070</v>
      </c>
      <c r="C73" t="s">
        <v>243</v>
      </c>
      <c r="D73">
        <v>260</v>
      </c>
    </row>
    <row r="74" spans="2:4" x14ac:dyDescent="0.25">
      <c r="B74" s="25">
        <v>42071</v>
      </c>
      <c r="C74" t="s">
        <v>244</v>
      </c>
      <c r="D74">
        <v>270</v>
      </c>
    </row>
    <row r="75" spans="2:4" x14ac:dyDescent="0.25">
      <c r="B75" s="25">
        <v>42072</v>
      </c>
      <c r="C75" t="s">
        <v>245</v>
      </c>
      <c r="D75">
        <v>280</v>
      </c>
    </row>
    <row r="76" spans="2:4" x14ac:dyDescent="0.25">
      <c r="B76" s="25">
        <v>42073</v>
      </c>
      <c r="C76" t="s">
        <v>246</v>
      </c>
      <c r="D76">
        <v>290</v>
      </c>
    </row>
    <row r="77" spans="2:4" x14ac:dyDescent="0.25">
      <c r="B77" s="25">
        <v>42074</v>
      </c>
      <c r="C77" t="s">
        <v>247</v>
      </c>
      <c r="D77">
        <v>300</v>
      </c>
    </row>
    <row r="78" spans="2:4" x14ac:dyDescent="0.25">
      <c r="B78" s="25">
        <v>42075</v>
      </c>
      <c r="C78" t="s">
        <v>241</v>
      </c>
      <c r="D78">
        <v>310</v>
      </c>
    </row>
    <row r="79" spans="2:4" x14ac:dyDescent="0.25">
      <c r="B79" s="25">
        <v>42076</v>
      </c>
      <c r="C79" t="s">
        <v>242</v>
      </c>
      <c r="D79">
        <v>320</v>
      </c>
    </row>
    <row r="80" spans="2:4" x14ac:dyDescent="0.25">
      <c r="B80" s="25">
        <v>42077</v>
      </c>
      <c r="C80" t="s">
        <v>243</v>
      </c>
      <c r="D80">
        <v>330</v>
      </c>
    </row>
    <row r="81" spans="2:4" x14ac:dyDescent="0.25">
      <c r="B81" s="25">
        <v>42078</v>
      </c>
      <c r="C81" t="s">
        <v>244</v>
      </c>
      <c r="D81">
        <v>340</v>
      </c>
    </row>
    <row r="82" spans="2:4" x14ac:dyDescent="0.25">
      <c r="B82" s="25">
        <v>42079</v>
      </c>
      <c r="C82" t="s">
        <v>245</v>
      </c>
      <c r="D82">
        <v>350</v>
      </c>
    </row>
    <row r="83" spans="2:4" x14ac:dyDescent="0.25">
      <c r="B83" s="25">
        <v>42080</v>
      </c>
      <c r="C83" t="s">
        <v>246</v>
      </c>
      <c r="D83">
        <v>360</v>
      </c>
    </row>
    <row r="84" spans="2:4" x14ac:dyDescent="0.25">
      <c r="B84" s="25">
        <v>42081</v>
      </c>
      <c r="C84" t="s">
        <v>247</v>
      </c>
      <c r="D84">
        <v>370</v>
      </c>
    </row>
    <row r="85" spans="2:4" x14ac:dyDescent="0.25">
      <c r="B85" s="25">
        <v>42082</v>
      </c>
      <c r="C85" t="s">
        <v>241</v>
      </c>
      <c r="D85">
        <v>380</v>
      </c>
    </row>
    <row r="86" spans="2:4" x14ac:dyDescent="0.25">
      <c r="B86" s="25">
        <v>42083</v>
      </c>
      <c r="C86" t="s">
        <v>242</v>
      </c>
      <c r="D86">
        <v>390</v>
      </c>
    </row>
    <row r="87" spans="2:4" x14ac:dyDescent="0.25">
      <c r="B87" s="25">
        <v>42084</v>
      </c>
      <c r="C87" t="s">
        <v>243</v>
      </c>
      <c r="D87">
        <v>400</v>
      </c>
    </row>
    <row r="88" spans="2:4" x14ac:dyDescent="0.25">
      <c r="B88" s="25">
        <v>42085</v>
      </c>
      <c r="C88" t="s">
        <v>244</v>
      </c>
      <c r="D88">
        <v>410</v>
      </c>
    </row>
    <row r="89" spans="2:4" x14ac:dyDescent="0.25">
      <c r="B89" s="25">
        <v>42086</v>
      </c>
      <c r="C89" t="s">
        <v>245</v>
      </c>
      <c r="D89">
        <v>420</v>
      </c>
    </row>
    <row r="90" spans="2:4" x14ac:dyDescent="0.25">
      <c r="B90" s="25">
        <v>42087</v>
      </c>
      <c r="C90" t="s">
        <v>246</v>
      </c>
      <c r="D90">
        <v>430</v>
      </c>
    </row>
    <row r="91" spans="2:4" x14ac:dyDescent="0.25">
      <c r="B91" s="25">
        <v>42088</v>
      </c>
      <c r="C91" t="s">
        <v>247</v>
      </c>
      <c r="D91">
        <v>440</v>
      </c>
    </row>
    <row r="92" spans="2:4" x14ac:dyDescent="0.25">
      <c r="B92" s="25">
        <v>42089</v>
      </c>
      <c r="C92" t="s">
        <v>241</v>
      </c>
      <c r="D92">
        <v>450</v>
      </c>
    </row>
    <row r="93" spans="2:4" x14ac:dyDescent="0.25">
      <c r="B93" s="25">
        <v>42090</v>
      </c>
      <c r="C93" t="s">
        <v>242</v>
      </c>
      <c r="D93">
        <v>460</v>
      </c>
    </row>
    <row r="94" spans="2:4" x14ac:dyDescent="0.25">
      <c r="B94" s="25">
        <v>42091</v>
      </c>
      <c r="C94" t="s">
        <v>243</v>
      </c>
      <c r="D94">
        <v>470</v>
      </c>
    </row>
    <row r="95" spans="2:4" x14ac:dyDescent="0.25">
      <c r="B95" s="25">
        <v>42092</v>
      </c>
      <c r="C95" t="s">
        <v>244</v>
      </c>
      <c r="D95">
        <v>480</v>
      </c>
    </row>
    <row r="96" spans="2:4" x14ac:dyDescent="0.25">
      <c r="B96" s="25">
        <v>42093</v>
      </c>
      <c r="C96" t="s">
        <v>245</v>
      </c>
      <c r="D96">
        <v>490</v>
      </c>
    </row>
    <row r="97" spans="2:4" x14ac:dyDescent="0.25">
      <c r="B97" s="24">
        <v>42094</v>
      </c>
      <c r="C97" t="s">
        <v>246</v>
      </c>
      <c r="D97">
        <v>500</v>
      </c>
    </row>
    <row r="99" spans="2:4" x14ac:dyDescent="0.25">
      <c r="B99" s="1" t="s">
        <v>240</v>
      </c>
      <c r="D99" s="1">
        <f>SUM(D6:D97)</f>
        <v>23235</v>
      </c>
    </row>
  </sheetData>
  <sortState xmlns:xlrd2="http://schemas.microsoft.com/office/spreadsheetml/2017/richdata2" ref="B6:D10">
    <sortCondition ref="C6:C10" customList="Oldest to newest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0847-A2FA-4461-95F4-9885F030A2D7}">
  <dimension ref="A1:F13"/>
  <sheetViews>
    <sheetView workbookViewId="0">
      <selection activeCell="H8" sqref="H8"/>
    </sheetView>
  </sheetViews>
  <sheetFormatPr defaultRowHeight="15" x14ac:dyDescent="0.25"/>
  <cols>
    <col min="3" max="3" width="11.85546875" customWidth="1"/>
    <col min="4" max="4" width="14.7109375" bestFit="1" customWidth="1"/>
    <col min="5" max="5" width="12.42578125" bestFit="1" customWidth="1"/>
    <col min="6" max="6" width="8.85546875" bestFit="1" customWidth="1"/>
  </cols>
  <sheetData>
    <row r="1" spans="1:6" x14ac:dyDescent="0.25">
      <c r="A1" t="s">
        <v>248</v>
      </c>
    </row>
    <row r="3" spans="1:6" x14ac:dyDescent="0.25">
      <c r="A3" s="7" t="s">
        <v>4</v>
      </c>
      <c r="B3" s="7" t="s">
        <v>249</v>
      </c>
      <c r="C3" s="7" t="s">
        <v>250</v>
      </c>
    </row>
    <row r="4" spans="1:6" x14ac:dyDescent="0.25">
      <c r="A4" t="s">
        <v>6</v>
      </c>
      <c r="B4" t="s">
        <v>251</v>
      </c>
      <c r="C4">
        <v>2</v>
      </c>
    </row>
    <row r="5" spans="1:6" x14ac:dyDescent="0.25">
      <c r="A5" t="s">
        <v>7</v>
      </c>
      <c r="B5" t="s">
        <v>252</v>
      </c>
      <c r="C5">
        <v>2</v>
      </c>
    </row>
    <row r="6" spans="1:6" ht="23.25" x14ac:dyDescent="0.25">
      <c r="A6" t="s">
        <v>8</v>
      </c>
      <c r="B6" t="s">
        <v>253</v>
      </c>
      <c r="C6">
        <v>4</v>
      </c>
      <c r="E6" s="28" t="s">
        <v>260</v>
      </c>
    </row>
    <row r="7" spans="1:6" x14ac:dyDescent="0.25">
      <c r="A7" t="s">
        <v>9</v>
      </c>
      <c r="B7" t="s">
        <v>252</v>
      </c>
      <c r="C7">
        <v>3</v>
      </c>
    </row>
    <row r="8" spans="1:6" ht="45" x14ac:dyDescent="0.25">
      <c r="A8" t="s">
        <v>10</v>
      </c>
      <c r="B8" t="s">
        <v>251</v>
      </c>
      <c r="C8">
        <v>4</v>
      </c>
      <c r="E8" s="18" t="s">
        <v>249</v>
      </c>
      <c r="F8" s="18" t="s">
        <v>255</v>
      </c>
    </row>
    <row r="9" spans="1:6" x14ac:dyDescent="0.25">
      <c r="A9" t="s">
        <v>11</v>
      </c>
      <c r="B9" t="s">
        <v>253</v>
      </c>
      <c r="C9">
        <v>5</v>
      </c>
      <c r="E9" s="19" t="s">
        <v>251</v>
      </c>
      <c r="F9" s="21">
        <f>SUMIF(B4:B13,"KIDS",C4:C13)</f>
        <v>10</v>
      </c>
    </row>
    <row r="10" spans="1:6" x14ac:dyDescent="0.25">
      <c r="A10" t="s">
        <v>12</v>
      </c>
      <c r="B10" t="s">
        <v>252</v>
      </c>
      <c r="C10">
        <v>6</v>
      </c>
      <c r="E10" s="19" t="s">
        <v>252</v>
      </c>
      <c r="F10" s="21">
        <f>SUMIF(B4:B13,"ADULTS",C4:C13)</f>
        <v>14</v>
      </c>
    </row>
    <row r="11" spans="1:6" x14ac:dyDescent="0.25">
      <c r="A11" t="s">
        <v>13</v>
      </c>
      <c r="B11" t="s">
        <v>251</v>
      </c>
      <c r="C11">
        <v>4</v>
      </c>
      <c r="E11" s="19" t="s">
        <v>253</v>
      </c>
      <c r="F11" s="21">
        <f>SUMIF(B4:B13,"SENIORS",C4:C13)</f>
        <v>10</v>
      </c>
    </row>
    <row r="12" spans="1:6" x14ac:dyDescent="0.25">
      <c r="A12" t="s">
        <v>14</v>
      </c>
      <c r="B12" t="s">
        <v>252</v>
      </c>
      <c r="C12">
        <v>3</v>
      </c>
    </row>
    <row r="13" spans="1:6" x14ac:dyDescent="0.25">
      <c r="A13" t="s">
        <v>254</v>
      </c>
      <c r="B13" t="s">
        <v>253</v>
      </c>
      <c r="C1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6EBF-BD79-401F-BA9A-927D69C116A0}">
  <dimension ref="A1:N13"/>
  <sheetViews>
    <sheetView workbookViewId="0">
      <selection activeCell="I15" sqref="I15"/>
    </sheetView>
  </sheetViews>
  <sheetFormatPr defaultRowHeight="15" x14ac:dyDescent="0.25"/>
  <cols>
    <col min="3" max="3" width="11.5703125" bestFit="1" customWidth="1"/>
    <col min="4" max="4" width="16.85546875" bestFit="1" customWidth="1"/>
  </cols>
  <sheetData>
    <row r="1" spans="1:14" x14ac:dyDescent="0.25">
      <c r="A1" s="13" t="s">
        <v>257</v>
      </c>
      <c r="B1" s="29" t="s">
        <v>256</v>
      </c>
      <c r="C1" s="13" t="s">
        <v>258</v>
      </c>
      <c r="D1" s="13" t="s">
        <v>259</v>
      </c>
    </row>
    <row r="2" spans="1:14" x14ac:dyDescent="0.25">
      <c r="A2" s="13">
        <v>1</v>
      </c>
      <c r="B2" s="14">
        <v>5000</v>
      </c>
      <c r="C2" s="13" t="s">
        <v>56</v>
      </c>
      <c r="D2" s="13">
        <f>IF(C2="YES",B2*0.1,B2*0.05)</f>
        <v>250</v>
      </c>
    </row>
    <row r="3" spans="1:14" x14ac:dyDescent="0.25">
      <c r="A3" s="13">
        <v>2</v>
      </c>
      <c r="B3" s="14">
        <v>7000</v>
      </c>
      <c r="C3" s="13" t="s">
        <v>56</v>
      </c>
      <c r="D3" s="13">
        <f>IF(C3="NO",B3*0.1,B3*0.05)</f>
        <v>700</v>
      </c>
      <c r="G3" s="7" t="s">
        <v>261</v>
      </c>
    </row>
    <row r="4" spans="1:14" x14ac:dyDescent="0.25">
      <c r="A4" s="13">
        <v>3</v>
      </c>
      <c r="B4" s="14">
        <v>10000</v>
      </c>
      <c r="C4" s="13" t="s">
        <v>57</v>
      </c>
      <c r="D4" s="13">
        <f t="shared" ref="D4:D11" si="0">IF(C4="NO",B4*0.1,B4*0.05)</f>
        <v>500</v>
      </c>
    </row>
    <row r="5" spans="1:14" x14ac:dyDescent="0.25">
      <c r="A5" s="13">
        <v>4</v>
      </c>
      <c r="B5" s="14">
        <v>6000</v>
      </c>
      <c r="C5" s="13" t="s">
        <v>56</v>
      </c>
      <c r="D5" s="13">
        <f t="shared" si="0"/>
        <v>600</v>
      </c>
      <c r="F5" t="s">
        <v>262</v>
      </c>
      <c r="M5" s="1">
        <f>SUMIF(C2:C11,"YES",B2:B11)</f>
        <v>46000</v>
      </c>
    </row>
    <row r="6" spans="1:14" x14ac:dyDescent="0.25">
      <c r="A6" s="13">
        <v>5</v>
      </c>
      <c r="B6" s="14">
        <v>4000</v>
      </c>
      <c r="C6" s="13" t="s">
        <v>56</v>
      </c>
      <c r="D6" s="13">
        <f t="shared" si="0"/>
        <v>400</v>
      </c>
    </row>
    <row r="7" spans="1:14" x14ac:dyDescent="0.25">
      <c r="A7" s="13">
        <v>6</v>
      </c>
      <c r="B7" s="14">
        <v>3000</v>
      </c>
      <c r="C7" s="13" t="s">
        <v>56</v>
      </c>
      <c r="D7" s="13">
        <f t="shared" si="0"/>
        <v>300</v>
      </c>
      <c r="F7" t="s">
        <v>263</v>
      </c>
      <c r="M7" s="1">
        <f>SUMIF(C2:C11,"NO",B2:B11)</f>
        <v>25000</v>
      </c>
    </row>
    <row r="8" spans="1:14" x14ac:dyDescent="0.25">
      <c r="A8" s="13">
        <v>7</v>
      </c>
      <c r="B8" s="14">
        <v>12000</v>
      </c>
      <c r="C8" s="13" t="s">
        <v>57</v>
      </c>
      <c r="D8" s="13">
        <f t="shared" si="0"/>
        <v>600</v>
      </c>
    </row>
    <row r="9" spans="1:14" x14ac:dyDescent="0.25">
      <c r="A9" s="13">
        <v>8</v>
      </c>
      <c r="B9" s="14">
        <v>8000</v>
      </c>
      <c r="C9" s="13" t="s">
        <v>57</v>
      </c>
      <c r="D9" s="13">
        <f t="shared" si="0"/>
        <v>400</v>
      </c>
      <c r="F9" t="s">
        <v>264</v>
      </c>
      <c r="N9" s="1">
        <f>SUMIF(B2:B11,"&gt;10000",D2:D11)</f>
        <v>600</v>
      </c>
    </row>
    <row r="10" spans="1:14" x14ac:dyDescent="0.25">
      <c r="A10" s="13">
        <v>9</v>
      </c>
      <c r="B10" s="14">
        <v>9000</v>
      </c>
      <c r="C10" s="13" t="s">
        <v>57</v>
      </c>
      <c r="D10" s="13">
        <f t="shared" si="0"/>
        <v>450</v>
      </c>
    </row>
    <row r="11" spans="1:14" x14ac:dyDescent="0.25">
      <c r="A11" s="13">
        <v>10</v>
      </c>
      <c r="B11" s="14">
        <v>7000</v>
      </c>
      <c r="C11" s="13" t="s">
        <v>57</v>
      </c>
      <c r="D11" s="13">
        <f t="shared" si="0"/>
        <v>350</v>
      </c>
      <c r="F11" t="s">
        <v>265</v>
      </c>
      <c r="N11" s="1">
        <f>SUMIF(B2:B11,"&gt;10000")</f>
        <v>12000</v>
      </c>
    </row>
    <row r="13" spans="1:14" x14ac:dyDescent="0.25">
      <c r="F13" t="s">
        <v>266</v>
      </c>
      <c r="N13" s="1">
        <f>SUMIF(B2:B11,"&lt;5000")</f>
        <v>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A9AA-2930-4E51-B1C3-ADAA98937303}">
  <dimension ref="A1:H11"/>
  <sheetViews>
    <sheetView workbookViewId="0">
      <selection activeCell="B10" sqref="B10"/>
    </sheetView>
  </sheetViews>
  <sheetFormatPr defaultRowHeight="15" x14ac:dyDescent="0.25"/>
  <cols>
    <col min="1" max="1" width="10.42578125" bestFit="1" customWidth="1"/>
    <col min="2" max="2" width="13.85546875" bestFit="1" customWidth="1"/>
  </cols>
  <sheetData>
    <row r="1" spans="1:8" x14ac:dyDescent="0.25">
      <c r="A1" t="s">
        <v>267</v>
      </c>
    </row>
    <row r="2" spans="1:8" x14ac:dyDescent="0.25">
      <c r="A2" t="s">
        <v>268</v>
      </c>
    </row>
    <row r="5" spans="1:8" x14ac:dyDescent="0.25">
      <c r="G5" t="s">
        <v>99</v>
      </c>
      <c r="H5" t="s">
        <v>269</v>
      </c>
    </row>
    <row r="6" spans="1:8" x14ac:dyDescent="0.25">
      <c r="G6" s="24">
        <v>42005</v>
      </c>
      <c r="H6">
        <v>1.55</v>
      </c>
    </row>
    <row r="7" spans="1:8" x14ac:dyDescent="0.25">
      <c r="G7" s="24">
        <v>42009</v>
      </c>
      <c r="H7">
        <v>1.56</v>
      </c>
    </row>
    <row r="8" spans="1:8" x14ac:dyDescent="0.25">
      <c r="A8" t="s">
        <v>99</v>
      </c>
      <c r="B8" t="s">
        <v>270</v>
      </c>
      <c r="G8" s="24">
        <v>42010</v>
      </c>
      <c r="H8">
        <v>1.54</v>
      </c>
    </row>
    <row r="9" spans="1:8" x14ac:dyDescent="0.25">
      <c r="A9" s="23">
        <v>42012</v>
      </c>
      <c r="B9" s="1">
        <f>VLOOKUP(A9,G6:H11,2,0)</f>
        <v>1.5</v>
      </c>
      <c r="G9" s="24">
        <v>42011</v>
      </c>
      <c r="H9">
        <v>1.52</v>
      </c>
    </row>
    <row r="10" spans="1:8" x14ac:dyDescent="0.25">
      <c r="A10" s="23">
        <v>42009</v>
      </c>
      <c r="B10" s="1">
        <f>VLOOKUP(A10,G7:H12,2,0)</f>
        <v>1.56</v>
      </c>
      <c r="G10" s="24">
        <v>42012</v>
      </c>
      <c r="H10">
        <v>1.5</v>
      </c>
    </row>
    <row r="11" spans="1:8" x14ac:dyDescent="0.25">
      <c r="G11" s="24">
        <v>42013</v>
      </c>
      <c r="H11">
        <v>1.48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6547-D194-430D-933B-60566CF3D7CB}">
  <dimension ref="A1:F13"/>
  <sheetViews>
    <sheetView workbookViewId="0">
      <selection activeCell="J18" sqref="J18"/>
    </sheetView>
  </sheetViews>
  <sheetFormatPr defaultRowHeight="15" x14ac:dyDescent="0.25"/>
  <cols>
    <col min="3" max="3" width="11.7109375" bestFit="1" customWidth="1"/>
    <col min="4" max="4" width="8.140625" bestFit="1" customWidth="1"/>
  </cols>
  <sheetData>
    <row r="1" spans="1:6" x14ac:dyDescent="0.25">
      <c r="A1" t="s">
        <v>271</v>
      </c>
      <c r="E1" t="s">
        <v>272</v>
      </c>
    </row>
    <row r="3" spans="1:6" x14ac:dyDescent="0.25">
      <c r="A3" s="13" t="s">
        <v>278</v>
      </c>
      <c r="B3" s="29" t="s">
        <v>4</v>
      </c>
      <c r="C3" s="29" t="s">
        <v>100</v>
      </c>
      <c r="D3" s="29" t="s">
        <v>101</v>
      </c>
    </row>
    <row r="4" spans="1:6" x14ac:dyDescent="0.25">
      <c r="A4" s="13">
        <v>101</v>
      </c>
      <c r="B4" s="13" t="s">
        <v>41</v>
      </c>
      <c r="C4" s="13" t="s">
        <v>273</v>
      </c>
      <c r="D4" s="30">
        <v>25000</v>
      </c>
    </row>
    <row r="5" spans="1:6" x14ac:dyDescent="0.25">
      <c r="A5" s="13">
        <v>102</v>
      </c>
      <c r="B5" s="13" t="s">
        <v>274</v>
      </c>
      <c r="C5" s="13" t="s">
        <v>106</v>
      </c>
      <c r="D5" s="30">
        <v>30000</v>
      </c>
    </row>
    <row r="6" spans="1:6" x14ac:dyDescent="0.25">
      <c r="A6" s="13">
        <v>103</v>
      </c>
      <c r="B6" s="13" t="s">
        <v>275</v>
      </c>
      <c r="C6" s="13" t="s">
        <v>108</v>
      </c>
      <c r="D6" s="30">
        <v>40000</v>
      </c>
    </row>
    <row r="7" spans="1:6" x14ac:dyDescent="0.25">
      <c r="A7" s="13">
        <v>104</v>
      </c>
      <c r="B7" s="13" t="s">
        <v>276</v>
      </c>
      <c r="C7" s="13" t="s">
        <v>109</v>
      </c>
      <c r="D7" s="30">
        <v>35000</v>
      </c>
    </row>
    <row r="8" spans="1:6" x14ac:dyDescent="0.25">
      <c r="A8" s="13">
        <v>105</v>
      </c>
      <c r="B8" s="13" t="s">
        <v>277</v>
      </c>
      <c r="C8" s="13" t="s">
        <v>107</v>
      </c>
      <c r="D8" s="30">
        <v>28000</v>
      </c>
    </row>
    <row r="11" spans="1:6" x14ac:dyDescent="0.25">
      <c r="A11" t="s">
        <v>279</v>
      </c>
      <c r="F11" s="1" t="str">
        <f>VLOOKUP(A7,A3:D8,2,0)</f>
        <v>Priya</v>
      </c>
    </row>
    <row r="13" spans="1:6" x14ac:dyDescent="0.25">
      <c r="A13" t="s">
        <v>280</v>
      </c>
      <c r="B13" t="s">
        <v>281</v>
      </c>
      <c r="F13" s="1">
        <f>VLOOKUP(B6,B3:D8,3,0)</f>
        <v>40000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CDAA-FA0F-4890-97BA-BC59E5FD9F2A}">
  <dimension ref="A1:H15"/>
  <sheetViews>
    <sheetView workbookViewId="0">
      <selection activeCell="H17" sqref="H17"/>
    </sheetView>
  </sheetViews>
  <sheetFormatPr defaultRowHeight="15" x14ac:dyDescent="0.25"/>
  <cols>
    <col min="4" max="4" width="12.5703125" bestFit="1" customWidth="1"/>
    <col min="8" max="8" width="12.140625" bestFit="1" customWidth="1"/>
  </cols>
  <sheetData>
    <row r="1" spans="1:8" x14ac:dyDescent="0.25">
      <c r="A1" t="s">
        <v>282</v>
      </c>
    </row>
    <row r="3" spans="1:8" x14ac:dyDescent="0.25">
      <c r="A3" s="29" t="s">
        <v>4</v>
      </c>
      <c r="B3" s="29" t="s">
        <v>141</v>
      </c>
      <c r="C3" s="29" t="s">
        <v>283</v>
      </c>
      <c r="D3" s="29" t="s">
        <v>284</v>
      </c>
    </row>
    <row r="4" spans="1:8" x14ac:dyDescent="0.25">
      <c r="A4" s="13" t="s">
        <v>42</v>
      </c>
      <c r="B4" s="13">
        <v>26</v>
      </c>
      <c r="C4" s="13" t="s">
        <v>289</v>
      </c>
      <c r="D4" s="13" t="s">
        <v>290</v>
      </c>
    </row>
    <row r="5" spans="1:8" x14ac:dyDescent="0.25">
      <c r="A5" s="13" t="s">
        <v>43</v>
      </c>
      <c r="B5" s="13">
        <v>27</v>
      </c>
      <c r="C5" s="13" t="s">
        <v>289</v>
      </c>
      <c r="D5" s="13" t="s">
        <v>291</v>
      </c>
    </row>
    <row r="6" spans="1:8" x14ac:dyDescent="0.25">
      <c r="A6" s="13" t="s">
        <v>285</v>
      </c>
      <c r="B6" s="13">
        <v>28</v>
      </c>
      <c r="C6" s="13" t="s">
        <v>289</v>
      </c>
      <c r="D6" s="13" t="s">
        <v>292</v>
      </c>
    </row>
    <row r="7" spans="1:8" x14ac:dyDescent="0.25">
      <c r="A7" s="13" t="s">
        <v>286</v>
      </c>
      <c r="B7" s="13">
        <v>31</v>
      </c>
      <c r="C7" s="13" t="s">
        <v>288</v>
      </c>
      <c r="D7" s="13" t="s">
        <v>106</v>
      </c>
    </row>
    <row r="8" spans="1:8" x14ac:dyDescent="0.25">
      <c r="A8" s="13" t="s">
        <v>277</v>
      </c>
      <c r="B8" s="13">
        <v>32</v>
      </c>
      <c r="C8" s="13" t="s">
        <v>289</v>
      </c>
      <c r="D8" s="13" t="s">
        <v>107</v>
      </c>
    </row>
    <row r="9" spans="1:8" x14ac:dyDescent="0.25">
      <c r="A9" s="13" t="s">
        <v>287</v>
      </c>
      <c r="B9" s="13">
        <v>35</v>
      </c>
      <c r="C9" s="13" t="s">
        <v>288</v>
      </c>
      <c r="D9" s="13" t="s">
        <v>293</v>
      </c>
    </row>
    <row r="10" spans="1:8" x14ac:dyDescent="0.25">
      <c r="A10" s="13" t="s">
        <v>161</v>
      </c>
      <c r="B10" s="13">
        <v>30</v>
      </c>
      <c r="C10" s="13" t="s">
        <v>288</v>
      </c>
      <c r="D10" s="13" t="s">
        <v>294</v>
      </c>
    </row>
    <row r="13" spans="1:8" x14ac:dyDescent="0.25">
      <c r="A13" t="s">
        <v>295</v>
      </c>
      <c r="H13" s="1" t="str">
        <f>VLOOKUP(A5,A3:D10,4,0)</f>
        <v>Data Science</v>
      </c>
    </row>
    <row r="15" spans="1:8" x14ac:dyDescent="0.25">
      <c r="A15" t="s">
        <v>296</v>
      </c>
      <c r="H15" s="1">
        <f>VLOOKUP(A8,A3:B10,2,0)</f>
        <v>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AEDB-DD28-469E-9150-5D64CF10207E}">
  <dimension ref="A1:D21"/>
  <sheetViews>
    <sheetView workbookViewId="0">
      <selection activeCell="C4" sqref="C4"/>
    </sheetView>
  </sheetViews>
  <sheetFormatPr defaultRowHeight="15" x14ac:dyDescent="0.25"/>
  <cols>
    <col min="1" max="1" width="12.7109375" customWidth="1"/>
    <col min="2" max="2" width="12.28515625" customWidth="1"/>
  </cols>
  <sheetData>
    <row r="1" spans="1:4" x14ac:dyDescent="0.25">
      <c r="A1" t="s">
        <v>297</v>
      </c>
      <c r="B1" t="s">
        <v>298</v>
      </c>
      <c r="C1" t="s">
        <v>101</v>
      </c>
      <c r="D1" t="s">
        <v>141</v>
      </c>
    </row>
    <row r="2" spans="1:4" x14ac:dyDescent="0.25">
      <c r="A2" t="s">
        <v>299</v>
      </c>
      <c r="B2" t="s">
        <v>300</v>
      </c>
      <c r="C2">
        <v>50000</v>
      </c>
      <c r="D2">
        <v>30</v>
      </c>
    </row>
    <row r="3" spans="1:4" x14ac:dyDescent="0.25">
      <c r="A3" t="s">
        <v>301</v>
      </c>
      <c r="B3" t="s">
        <v>302</v>
      </c>
      <c r="C3">
        <v>60000</v>
      </c>
      <c r="D3">
        <v>35</v>
      </c>
    </row>
    <row r="4" spans="1:4" x14ac:dyDescent="0.25">
      <c r="A4" t="s">
        <v>303</v>
      </c>
      <c r="B4" t="s">
        <v>304</v>
      </c>
      <c r="C4" s="1">
        <v>75000</v>
      </c>
      <c r="D4">
        <v>40</v>
      </c>
    </row>
    <row r="5" spans="1:4" x14ac:dyDescent="0.25">
      <c r="A5" t="s">
        <v>305</v>
      </c>
      <c r="B5" t="s">
        <v>306</v>
      </c>
      <c r="C5">
        <v>55000</v>
      </c>
      <c r="D5">
        <v>28</v>
      </c>
    </row>
    <row r="6" spans="1:4" x14ac:dyDescent="0.25">
      <c r="A6" t="s">
        <v>307</v>
      </c>
      <c r="B6" t="s">
        <v>308</v>
      </c>
      <c r="C6" s="1">
        <v>80000</v>
      </c>
      <c r="D6">
        <v>45</v>
      </c>
    </row>
    <row r="7" spans="1:4" x14ac:dyDescent="0.25">
      <c r="A7" t="s">
        <v>309</v>
      </c>
      <c r="B7" t="s">
        <v>310</v>
      </c>
      <c r="C7">
        <v>65000</v>
      </c>
      <c r="D7">
        <v>33</v>
      </c>
    </row>
    <row r="8" spans="1:4" x14ac:dyDescent="0.25">
      <c r="A8" t="s">
        <v>311</v>
      </c>
      <c r="B8" t="s">
        <v>312</v>
      </c>
      <c r="C8">
        <v>70000</v>
      </c>
      <c r="D8">
        <v>38</v>
      </c>
    </row>
    <row r="9" spans="1:4" x14ac:dyDescent="0.25">
      <c r="A9" t="s">
        <v>313</v>
      </c>
      <c r="B9" t="s">
        <v>314</v>
      </c>
      <c r="C9">
        <v>60000</v>
      </c>
      <c r="D9">
        <v>32</v>
      </c>
    </row>
    <row r="10" spans="1:4" x14ac:dyDescent="0.25">
      <c r="A10" t="s">
        <v>315</v>
      </c>
      <c r="B10" t="s">
        <v>316</v>
      </c>
      <c r="C10" s="1">
        <v>85000</v>
      </c>
      <c r="D10">
        <v>42</v>
      </c>
    </row>
    <row r="11" spans="1:4" x14ac:dyDescent="0.25">
      <c r="A11" t="s">
        <v>317</v>
      </c>
      <c r="B11" t="s">
        <v>318</v>
      </c>
      <c r="C11">
        <v>70000</v>
      </c>
      <c r="D11">
        <v>36</v>
      </c>
    </row>
    <row r="12" spans="1:4" x14ac:dyDescent="0.25">
      <c r="A12" t="s">
        <v>319</v>
      </c>
      <c r="B12" t="s">
        <v>320</v>
      </c>
      <c r="C12">
        <v>60000</v>
      </c>
      <c r="D12">
        <v>31</v>
      </c>
    </row>
    <row r="13" spans="1:4" x14ac:dyDescent="0.25">
      <c r="A13" t="s">
        <v>321</v>
      </c>
      <c r="B13" t="s">
        <v>322</v>
      </c>
      <c r="C13">
        <v>55000</v>
      </c>
      <c r="D13">
        <v>29</v>
      </c>
    </row>
    <row r="14" spans="1:4" x14ac:dyDescent="0.25">
      <c r="A14" t="s">
        <v>323</v>
      </c>
      <c r="B14" t="s">
        <v>302</v>
      </c>
      <c r="C14" s="1">
        <v>90000</v>
      </c>
      <c r="D14">
        <v>48</v>
      </c>
    </row>
    <row r="15" spans="1:4" x14ac:dyDescent="0.25">
      <c r="A15" t="s">
        <v>275</v>
      </c>
      <c r="B15" t="s">
        <v>324</v>
      </c>
      <c r="C15">
        <v>65000</v>
      </c>
      <c r="D15">
        <v>34</v>
      </c>
    </row>
    <row r="16" spans="1:4" x14ac:dyDescent="0.25">
      <c r="A16" t="s">
        <v>325</v>
      </c>
      <c r="B16" t="s">
        <v>326</v>
      </c>
      <c r="C16" s="1">
        <v>75000</v>
      </c>
      <c r="D16">
        <v>39</v>
      </c>
    </row>
    <row r="17" spans="1:4" x14ac:dyDescent="0.25">
      <c r="A17" t="s">
        <v>327</v>
      </c>
      <c r="B17" t="s">
        <v>328</v>
      </c>
      <c r="C17">
        <v>70000</v>
      </c>
      <c r="D17">
        <v>37</v>
      </c>
    </row>
    <row r="18" spans="1:4" x14ac:dyDescent="0.25">
      <c r="A18" t="s">
        <v>329</v>
      </c>
      <c r="B18" t="s">
        <v>330</v>
      </c>
      <c r="C18" s="1">
        <v>80000</v>
      </c>
      <c r="D18">
        <v>41</v>
      </c>
    </row>
    <row r="19" spans="1:4" x14ac:dyDescent="0.25">
      <c r="A19" t="s">
        <v>331</v>
      </c>
      <c r="B19" t="s">
        <v>332</v>
      </c>
      <c r="C19">
        <v>60000</v>
      </c>
      <c r="D19">
        <v>33</v>
      </c>
    </row>
    <row r="20" spans="1:4" x14ac:dyDescent="0.25">
      <c r="A20" t="s">
        <v>333</v>
      </c>
      <c r="B20" t="s">
        <v>334</v>
      </c>
      <c r="C20">
        <v>70000</v>
      </c>
      <c r="D20">
        <v>38</v>
      </c>
    </row>
    <row r="21" spans="1:4" x14ac:dyDescent="0.25">
      <c r="A21" t="s">
        <v>335</v>
      </c>
      <c r="B21" t="s">
        <v>336</v>
      </c>
      <c r="C21">
        <v>65000</v>
      </c>
      <c r="D21">
        <v>35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6511-1BB2-448A-9D0C-F39AFCD69D4B}">
  <dimension ref="A1:G19"/>
  <sheetViews>
    <sheetView tabSelected="1" workbookViewId="0">
      <selection activeCell="G3" sqref="G3"/>
    </sheetView>
  </sheetViews>
  <sheetFormatPr defaultRowHeight="15" x14ac:dyDescent="0.25"/>
  <cols>
    <col min="1" max="1" width="10.140625" customWidth="1"/>
    <col min="2" max="2" width="15.7109375" bestFit="1" customWidth="1"/>
    <col min="3" max="3" width="16.28515625" bestFit="1" customWidth="1"/>
    <col min="4" max="4" width="10.85546875" customWidth="1"/>
    <col min="7" max="7" width="10.85546875" customWidth="1"/>
  </cols>
  <sheetData>
    <row r="1" spans="1:7" x14ac:dyDescent="0.25">
      <c r="A1" t="s">
        <v>337</v>
      </c>
      <c r="B1" t="s">
        <v>4</v>
      </c>
      <c r="C1" t="s">
        <v>338</v>
      </c>
      <c r="D1" t="s">
        <v>339</v>
      </c>
      <c r="E1" t="s">
        <v>340</v>
      </c>
      <c r="F1" t="s">
        <v>240</v>
      </c>
      <c r="G1" t="s">
        <v>371</v>
      </c>
    </row>
    <row r="2" spans="1:7" x14ac:dyDescent="0.25">
      <c r="A2">
        <v>11280</v>
      </c>
      <c r="B2" t="s">
        <v>341</v>
      </c>
      <c r="C2" t="s">
        <v>342</v>
      </c>
      <c r="D2">
        <v>15</v>
      </c>
      <c r="E2">
        <v>30000</v>
      </c>
      <c r="F2">
        <f xml:space="preserve"> D2*E2</f>
        <v>450000</v>
      </c>
      <c r="G2">
        <f t="shared" ref="G2:G19" si="0">IF(D2&gt;20,F2*20%,0)</f>
        <v>0</v>
      </c>
    </row>
    <row r="3" spans="1:7" x14ac:dyDescent="0.25">
      <c r="A3">
        <v>11281</v>
      </c>
      <c r="B3" t="s">
        <v>343</v>
      </c>
      <c r="C3" t="s">
        <v>344</v>
      </c>
      <c r="D3">
        <v>10</v>
      </c>
      <c r="E3">
        <v>25000</v>
      </c>
      <c r="F3">
        <f xml:space="preserve"> D3*E3</f>
        <v>250000</v>
      </c>
      <c r="G3">
        <f t="shared" si="0"/>
        <v>0</v>
      </c>
    </row>
    <row r="4" spans="1:7" x14ac:dyDescent="0.25">
      <c r="A4">
        <v>11282</v>
      </c>
      <c r="B4" t="s">
        <v>345</v>
      </c>
      <c r="C4" t="s">
        <v>346</v>
      </c>
      <c r="D4">
        <v>150</v>
      </c>
      <c r="E4">
        <v>28000</v>
      </c>
      <c r="F4">
        <f xml:space="preserve"> D4*E4</f>
        <v>4200000</v>
      </c>
      <c r="G4">
        <f t="shared" si="0"/>
        <v>840000</v>
      </c>
    </row>
    <row r="5" spans="1:7" x14ac:dyDescent="0.25">
      <c r="A5">
        <v>11283</v>
      </c>
      <c r="B5" t="s">
        <v>347</v>
      </c>
      <c r="C5" t="s">
        <v>348</v>
      </c>
      <c r="D5">
        <v>12</v>
      </c>
      <c r="E5">
        <v>30000</v>
      </c>
      <c r="F5">
        <f xml:space="preserve"> D5*E5</f>
        <v>360000</v>
      </c>
      <c r="G5">
        <f t="shared" si="0"/>
        <v>0</v>
      </c>
    </row>
    <row r="6" spans="1:7" x14ac:dyDescent="0.25">
      <c r="A6">
        <v>11284</v>
      </c>
      <c r="B6" t="s">
        <v>349</v>
      </c>
      <c r="C6" t="s">
        <v>350</v>
      </c>
      <c r="D6">
        <v>20</v>
      </c>
      <c r="E6">
        <v>30000</v>
      </c>
      <c r="F6">
        <f xml:space="preserve"> D6*E6</f>
        <v>600000</v>
      </c>
      <c r="G6">
        <f t="shared" si="0"/>
        <v>0</v>
      </c>
    </row>
    <row r="7" spans="1:7" x14ac:dyDescent="0.25">
      <c r="A7">
        <v>11285</v>
      </c>
      <c r="B7" t="s">
        <v>351</v>
      </c>
      <c r="C7" t="s">
        <v>352</v>
      </c>
      <c r="D7">
        <v>20</v>
      </c>
      <c r="E7">
        <v>26000</v>
      </c>
      <c r="F7">
        <f xml:space="preserve"> D7*E7</f>
        <v>520000</v>
      </c>
      <c r="G7">
        <f t="shared" si="0"/>
        <v>0</v>
      </c>
    </row>
    <row r="8" spans="1:7" x14ac:dyDescent="0.25">
      <c r="A8">
        <v>11286</v>
      </c>
      <c r="B8" t="s">
        <v>353</v>
      </c>
      <c r="C8" t="s">
        <v>354</v>
      </c>
      <c r="D8">
        <v>2</v>
      </c>
      <c r="E8">
        <v>30000</v>
      </c>
      <c r="F8">
        <f xml:space="preserve"> D8*E8</f>
        <v>60000</v>
      </c>
      <c r="G8">
        <f t="shared" si="0"/>
        <v>0</v>
      </c>
    </row>
    <row r="9" spans="1:7" x14ac:dyDescent="0.25">
      <c r="A9">
        <v>11287</v>
      </c>
      <c r="B9" t="s">
        <v>355</v>
      </c>
      <c r="C9" t="s">
        <v>356</v>
      </c>
      <c r="D9">
        <v>5</v>
      </c>
      <c r="E9">
        <v>35000</v>
      </c>
      <c r="F9">
        <f xml:space="preserve"> D9*E9</f>
        <v>175000</v>
      </c>
      <c r="G9">
        <f t="shared" si="0"/>
        <v>0</v>
      </c>
    </row>
    <row r="10" spans="1:7" x14ac:dyDescent="0.25">
      <c r="A10">
        <v>11288</v>
      </c>
      <c r="B10" t="s">
        <v>357</v>
      </c>
      <c r="C10" t="s">
        <v>358</v>
      </c>
      <c r="D10">
        <v>80</v>
      </c>
      <c r="E10">
        <v>30000</v>
      </c>
      <c r="F10">
        <f xml:space="preserve"> D10*E10</f>
        <v>2400000</v>
      </c>
      <c r="G10">
        <f t="shared" si="0"/>
        <v>480000</v>
      </c>
    </row>
    <row r="11" spans="1:7" x14ac:dyDescent="0.25">
      <c r="A11">
        <v>11289</v>
      </c>
      <c r="B11" t="s">
        <v>359</v>
      </c>
      <c r="C11" t="s">
        <v>360</v>
      </c>
      <c r="D11">
        <v>100</v>
      </c>
      <c r="E11">
        <v>26000</v>
      </c>
      <c r="F11">
        <f xml:space="preserve"> D11*E11</f>
        <v>2600000</v>
      </c>
      <c r="G11">
        <f t="shared" si="0"/>
        <v>520000</v>
      </c>
    </row>
    <row r="12" spans="1:7" x14ac:dyDescent="0.25">
      <c r="A12">
        <v>11290</v>
      </c>
      <c r="B12" t="s">
        <v>361</v>
      </c>
      <c r="C12" t="s">
        <v>362</v>
      </c>
      <c r="D12">
        <v>20</v>
      </c>
      <c r="E12">
        <v>35000</v>
      </c>
      <c r="F12">
        <f xml:space="preserve"> D12*E12</f>
        <v>700000</v>
      </c>
      <c r="G12">
        <f t="shared" si="0"/>
        <v>0</v>
      </c>
    </row>
    <row r="13" spans="1:7" x14ac:dyDescent="0.25">
      <c r="A13">
        <v>11291</v>
      </c>
      <c r="B13" t="s">
        <v>363</v>
      </c>
      <c r="C13" t="s">
        <v>364</v>
      </c>
      <c r="D13">
        <v>25</v>
      </c>
      <c r="E13">
        <v>40000</v>
      </c>
      <c r="F13">
        <f xml:space="preserve"> D13*E13</f>
        <v>1000000</v>
      </c>
      <c r="G13">
        <f t="shared" si="0"/>
        <v>200000</v>
      </c>
    </row>
    <row r="14" spans="1:7" x14ac:dyDescent="0.25">
      <c r="A14">
        <v>11292</v>
      </c>
      <c r="B14" t="s">
        <v>365</v>
      </c>
      <c r="C14" t="s">
        <v>346</v>
      </c>
      <c r="D14">
        <v>10</v>
      </c>
      <c r="E14">
        <v>28000</v>
      </c>
      <c r="F14">
        <f xml:space="preserve"> D14*E14</f>
        <v>280000</v>
      </c>
      <c r="G14">
        <f t="shared" si="0"/>
        <v>0</v>
      </c>
    </row>
    <row r="15" spans="1:7" x14ac:dyDescent="0.25">
      <c r="A15">
        <v>11293</v>
      </c>
      <c r="B15" t="s">
        <v>366</v>
      </c>
      <c r="C15" t="s">
        <v>348</v>
      </c>
      <c r="D15">
        <v>10</v>
      </c>
      <c r="E15">
        <v>30000</v>
      </c>
      <c r="F15">
        <f xml:space="preserve"> D15*E15</f>
        <v>300000</v>
      </c>
      <c r="G15">
        <f t="shared" si="0"/>
        <v>0</v>
      </c>
    </row>
    <row r="16" spans="1:7" x14ac:dyDescent="0.25">
      <c r="A16">
        <v>11294</v>
      </c>
      <c r="B16" t="s">
        <v>367</v>
      </c>
      <c r="C16" t="s">
        <v>350</v>
      </c>
      <c r="D16">
        <v>5</v>
      </c>
      <c r="E16">
        <v>30000</v>
      </c>
      <c r="F16">
        <f xml:space="preserve"> D16*E16</f>
        <v>150000</v>
      </c>
      <c r="G16">
        <f t="shared" si="0"/>
        <v>0</v>
      </c>
    </row>
    <row r="17" spans="1:7" x14ac:dyDescent="0.25">
      <c r="A17">
        <v>11295</v>
      </c>
      <c r="B17" t="s">
        <v>368</v>
      </c>
      <c r="C17" t="s">
        <v>352</v>
      </c>
      <c r="D17">
        <v>180</v>
      </c>
      <c r="E17">
        <v>26000</v>
      </c>
      <c r="F17">
        <f xml:space="preserve"> D17*E17</f>
        <v>4680000</v>
      </c>
      <c r="G17">
        <f t="shared" si="0"/>
        <v>936000</v>
      </c>
    </row>
    <row r="18" spans="1:7" x14ac:dyDescent="0.25">
      <c r="A18">
        <v>11296</v>
      </c>
      <c r="B18" t="s">
        <v>369</v>
      </c>
      <c r="C18" t="s">
        <v>354</v>
      </c>
      <c r="D18">
        <v>5</v>
      </c>
      <c r="E18">
        <v>30000</v>
      </c>
      <c r="F18">
        <f xml:space="preserve"> D18*E18</f>
        <v>150000</v>
      </c>
      <c r="G18">
        <f t="shared" si="0"/>
        <v>0</v>
      </c>
    </row>
    <row r="19" spans="1:7" x14ac:dyDescent="0.25">
      <c r="A19">
        <v>11297</v>
      </c>
      <c r="B19" t="s">
        <v>370</v>
      </c>
      <c r="C19" t="s">
        <v>356</v>
      </c>
      <c r="D19">
        <v>250</v>
      </c>
      <c r="E19">
        <v>35000</v>
      </c>
      <c r="F19">
        <f xml:space="preserve"> D19*E19</f>
        <v>8750000</v>
      </c>
      <c r="G19">
        <f t="shared" si="0"/>
        <v>1750000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8F241F-F532-4D01-AB54-091CE3028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 Average 1 - QUESTION-1</vt:lpstr>
      <vt:lpstr>Average 3 -Question -2 </vt:lpstr>
      <vt:lpstr>Count 1- Question-3</vt:lpstr>
      <vt:lpstr>Count  - Question-4</vt:lpstr>
      <vt:lpstr>Count 2 - Question -5</vt:lpstr>
      <vt:lpstr>Count 3- Question-6</vt:lpstr>
      <vt:lpstr>HLOOKUP-Question-7</vt:lpstr>
      <vt:lpstr>IF 1-Question-8</vt:lpstr>
      <vt:lpstr>IF 2,-Question-9</vt:lpstr>
      <vt:lpstr> IF 3-Question-10,11</vt:lpstr>
      <vt:lpstr>IF 4-Question-12</vt:lpstr>
      <vt:lpstr>Math 1-Question-13</vt:lpstr>
      <vt:lpstr>MAX MIN 1-Question-14</vt:lpstr>
      <vt:lpstr>MAX MIN 2-Question-15</vt:lpstr>
      <vt:lpstr>MAX MIN 3-Question-16</vt:lpstr>
      <vt:lpstr> Nested IF 1-Question-17</vt:lpstr>
      <vt:lpstr> SUM 1-Question-18</vt:lpstr>
      <vt:lpstr>SUM 2,-Question-19</vt:lpstr>
      <vt:lpstr>  SUM 3-Question-20 &amp; 23</vt:lpstr>
      <vt:lpstr>SUMIF 1-Question-21</vt:lpstr>
      <vt:lpstr> VLOOKUP APPROXIMATE MATCH -24</vt:lpstr>
      <vt:lpstr>VLOOKUP 1,-Que-25</vt:lpstr>
      <vt:lpstr> VLOOKUP 2a-Qes-26</vt:lpstr>
      <vt:lpstr>Macros</vt:lpstr>
      <vt:lpstr>VBA</vt:lpstr>
      <vt:lpstr>'Count 3- Question-6'!Print_Area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919974683691</dc:creator>
  <cp:lastModifiedBy>919974683691</cp:lastModifiedBy>
  <dcterms:created xsi:type="dcterms:W3CDTF">2026-03-23T08:38:33Z</dcterms:created>
  <dcterms:modified xsi:type="dcterms:W3CDTF">2026-03-29T14:58:51Z</dcterms:modified>
</cp:coreProperties>
</file>