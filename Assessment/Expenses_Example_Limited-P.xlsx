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Lenovo\Desktop\"/>
    </mc:Choice>
  </mc:AlternateContent>
  <xr:revisionPtr revIDLastSave="0" documentId="8_{FC323C06-15FB-41A8-99E9-7BAA57D8F602}" xr6:coauthVersionLast="47" xr6:coauthVersionMax="47" xr10:uidLastSave="{00000000-0000-0000-0000-000000000000}"/>
  <bookViews>
    <workbookView xWindow="-120" yWindow="-120" windowWidth="20730" windowHeight="11040" activeTab="3" xr2:uid="{64B07F9B-5E65-46DC-BC39-77BF940BA538}"/>
  </bookViews>
  <sheets>
    <sheet name="Expenses (4)" sheetId="1" r:id="rId1"/>
    <sheet name="Pivot_Slicer" sheetId="15" r:id="rId2"/>
    <sheet name="Raw _Data _Expenses" sheetId="9" r:id="rId3"/>
    <sheet name="Expense (2)" sheetId="8" r:id="rId4"/>
  </sheets>
  <definedNames>
    <definedName name="Slicer_Account_Code">#N/A</definedName>
  </definedNames>
  <calcPr calcId="181029"/>
  <pivotCaches>
    <pivotCache cacheId="58"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0323CCC-B220-4604-96CC-E9F742ED1393}"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 id="2" xr16:uid="{1DC82972-1684-41F1-B534-D2E2AA11089A}" keepAlive="1" name="Query - Table4" description="Connection to the 'Table4' query in the workbook." type="5" refreshedVersion="0" background="1">
    <dbPr connection="Provider=Microsoft.Mashup.OleDb.1;Data Source=$Workbook$;Location=Table4;Extended Properties=&quot;&quot;" command="SELECT * FROM [Table4]"/>
  </connection>
</connections>
</file>

<file path=xl/sharedStrings.xml><?xml version="1.0" encoding="utf-8"?>
<sst xmlns="http://schemas.openxmlformats.org/spreadsheetml/2006/main" count="898" uniqueCount="197">
  <si>
    <t>Column1</t>
  </si>
  <si>
    <t>Document Date</t>
  </si>
  <si>
    <t>Supplier</t>
  </si>
  <si>
    <t>Reference</t>
  </si>
  <si>
    <t>Description</t>
  </si>
  <si>
    <t>2/14/2011</t>
  </si>
  <si>
    <t>XY Solutions</t>
  </si>
  <si>
    <t>S77782</t>
  </si>
  <si>
    <t>Opening Balance</t>
  </si>
  <si>
    <t>IS Communications</t>
  </si>
  <si>
    <t>Invoice EXP22</t>
  </si>
  <si>
    <t>Internet Service Provider</t>
  </si>
  <si>
    <t>Newscorp</t>
  </si>
  <si>
    <t>I381119</t>
  </si>
  <si>
    <t>Subscriptions</t>
  </si>
  <si>
    <t>EAG Brokers</t>
  </si>
  <si>
    <t>Debit Order</t>
  </si>
  <si>
    <t>Insurance</t>
  </si>
  <si>
    <t>3/15/2011</t>
  </si>
  <si>
    <t>Capital Bank</t>
  </si>
  <si>
    <t>Bank Statement</t>
  </si>
  <si>
    <t>Service Fees</t>
  </si>
  <si>
    <t>IAS Accountants</t>
  </si>
  <si>
    <t>Invoice</t>
  </si>
  <si>
    <t>Bookkeeping</t>
  </si>
  <si>
    <t>Interflora</t>
  </si>
  <si>
    <t>Cash</t>
  </si>
  <si>
    <t>Flowers</t>
  </si>
  <si>
    <t>3/18/2011</t>
  </si>
  <si>
    <t>QQ International</t>
  </si>
  <si>
    <t>TR6998</t>
  </si>
  <si>
    <t>Parking</t>
  </si>
  <si>
    <t>3/20/2011</t>
  </si>
  <si>
    <t>Example (Pty) Ltd</t>
  </si>
  <si>
    <t>Transfer</t>
  </si>
  <si>
    <t>Inter Account Transfer</t>
  </si>
  <si>
    <t>3/26/2011</t>
  </si>
  <si>
    <t>HP Finance</t>
  </si>
  <si>
    <t>Capital repayment</t>
  </si>
  <si>
    <t>PR Properties</t>
  </si>
  <si>
    <t>Rent</t>
  </si>
  <si>
    <t>4/25/2011</t>
  </si>
  <si>
    <t>Inland Revenue</t>
  </si>
  <si>
    <t>Return</t>
  </si>
  <si>
    <t>Sales Tax</t>
  </si>
  <si>
    <t>4/26/2011</t>
  </si>
  <si>
    <t>Furniture City</t>
  </si>
  <si>
    <t>Furniture</t>
  </si>
  <si>
    <t>4/29/2011</t>
  </si>
  <si>
    <t>GF Supplies</t>
  </si>
  <si>
    <t>IN1179</t>
  </si>
  <si>
    <t>Consumables</t>
  </si>
  <si>
    <t>Training Inc</t>
  </si>
  <si>
    <t>Course</t>
  </si>
  <si>
    <t>City Lodge</t>
  </si>
  <si>
    <t>S50037</t>
  </si>
  <si>
    <t>Accommodation</t>
  </si>
  <si>
    <t>Waltons</t>
  </si>
  <si>
    <t>Stationery</t>
  </si>
  <si>
    <t xml:space="preserve">             3/26/2011</t>
  </si>
  <si>
    <t>A</t>
  </si>
  <si>
    <t>B1</t>
  </si>
  <si>
    <t>BS-500</t>
  </si>
  <si>
    <t>IS-380</t>
  </si>
  <si>
    <t>3/31/2011</t>
  </si>
  <si>
    <t>IS-375</t>
  </si>
  <si>
    <t>IS-340</t>
  </si>
  <si>
    <t>IS-315</t>
  </si>
  <si>
    <t>IS-305</t>
  </si>
  <si>
    <t>PC</t>
  </si>
  <si>
    <t>IS-345</t>
  </si>
  <si>
    <t>IS-390</t>
  </si>
  <si>
    <t>E</t>
  </si>
  <si>
    <t>B2</t>
  </si>
  <si>
    <t>BS-399</t>
  </si>
  <si>
    <t>BS-700</t>
  </si>
  <si>
    <t>IS-350</t>
  </si>
  <si>
    <t>BS-600</t>
  </si>
  <si>
    <t>BS-100</t>
  </si>
  <si>
    <t>5/26/2011</t>
  </si>
  <si>
    <t>IS-325</t>
  </si>
  <si>
    <t>5/29/2011</t>
  </si>
  <si>
    <t>IS-385</t>
  </si>
  <si>
    <t>5/31/2011</t>
  </si>
  <si>
    <t>IS-370</t>
  </si>
  <si>
    <t>Tax Inclusive Amount</t>
  </si>
  <si>
    <t>Tax Code</t>
  </si>
  <si>
    <t>Bank Code</t>
  </si>
  <si>
    <t>Account Code</t>
  </si>
  <si>
    <t xml:space="preserve">           3/26/2011</t>
  </si>
  <si>
    <t>Payment Date</t>
  </si>
  <si>
    <t xml:space="preserve">               2/03/2011</t>
  </si>
  <si>
    <t xml:space="preserve">               3/31/2011</t>
  </si>
  <si>
    <t xml:space="preserve">                1/04/2011</t>
  </si>
  <si>
    <t xml:space="preserve">               5 /03/2011</t>
  </si>
  <si>
    <t xml:space="preserve">                3/15/2011</t>
  </si>
  <si>
    <t xml:space="preserve">                2/04/2011</t>
  </si>
  <si>
    <t xml:space="preserve">               3/18/2011</t>
  </si>
  <si>
    <t xml:space="preserve">               3/20/2011</t>
  </si>
  <si>
    <t xml:space="preserve">              3/26/2011</t>
  </si>
  <si>
    <t xml:space="preserve">               4/25/2011</t>
  </si>
  <si>
    <t xml:space="preserve">                5/26/2011</t>
  </si>
  <si>
    <t xml:space="preserve">               5/29/2011</t>
  </si>
  <si>
    <t xml:space="preserve">               5/31/2011</t>
  </si>
  <si>
    <t xml:space="preserve">               7/05/2011</t>
  </si>
  <si>
    <t xml:space="preserve">                6/06/2011</t>
  </si>
  <si>
    <t xml:space="preserve">                 2/14/2011</t>
  </si>
  <si>
    <t xml:space="preserve">                 1/03/2011</t>
  </si>
  <si>
    <t xml:space="preserve">                  2/03/2011</t>
  </si>
  <si>
    <t xml:space="preserve">                  5/03/2011</t>
  </si>
  <si>
    <t xml:space="preserve">                  3/15/2011</t>
  </si>
  <si>
    <t xml:space="preserve">                  3/18/2011</t>
  </si>
  <si>
    <t xml:space="preserve">                  3/20/2011</t>
  </si>
  <si>
    <t xml:space="preserve">                  3/26/2011</t>
  </si>
  <si>
    <t xml:space="preserve">                 4/25/2011</t>
  </si>
  <si>
    <t xml:space="preserve">                 4/26/2011</t>
  </si>
  <si>
    <t xml:space="preserve">                 4/29/2011</t>
  </si>
  <si>
    <t xml:space="preserve">                 1/05/2011</t>
  </si>
  <si>
    <t xml:space="preserve">                 7/05/2011</t>
  </si>
  <si>
    <t xml:space="preserve">                7/05/2011</t>
  </si>
  <si>
    <r>
      <rPr>
        <b/>
        <sz val="11"/>
        <color theme="1"/>
        <rFont val="Calibri"/>
        <family val="2"/>
        <scheme val="minor"/>
      </rPr>
      <t>Account</t>
    </r>
    <r>
      <rPr>
        <sz val="11"/>
        <color theme="1"/>
        <rFont val="Calibri"/>
        <family val="2"/>
        <scheme val="minor"/>
      </rPr>
      <t xml:space="preserve"> </t>
    </r>
    <r>
      <rPr>
        <b/>
        <sz val="11"/>
        <color theme="1"/>
        <rFont val="Calibri"/>
        <family val="2"/>
        <scheme val="minor"/>
      </rPr>
      <t>Code</t>
    </r>
  </si>
  <si>
    <t>Grand Total</t>
  </si>
  <si>
    <t>Row Labels</t>
  </si>
  <si>
    <t>Sum of Tax Inclusive Amount</t>
  </si>
  <si>
    <t>Example Limited Expenses</t>
  </si>
  <si>
    <t>Payroll</t>
  </si>
  <si>
    <t>Salaries</t>
  </si>
  <si>
    <t>IS-365</t>
  </si>
  <si>
    <t>Interest paid</t>
  </si>
  <si>
    <t>IS-500</t>
  </si>
  <si>
    <t>Petty Cash Reimbursement</t>
  </si>
  <si>
    <t>Invoice EXP23</t>
  </si>
  <si>
    <t>4/15/2011</t>
  </si>
  <si>
    <t>4/20/2011</t>
  </si>
  <si>
    <t>4/30/2011</t>
  </si>
  <si>
    <t>Invoice EXP24</t>
  </si>
  <si>
    <t>5/15/2011</t>
  </si>
  <si>
    <t>5/20/2011</t>
  </si>
  <si>
    <r>
      <rPr>
        <b/>
        <sz val="11"/>
        <color theme="1"/>
        <rFont val="Calibri"/>
        <family val="2"/>
        <scheme val="minor"/>
      </rPr>
      <t>Document</t>
    </r>
    <r>
      <rPr>
        <sz val="11"/>
        <color theme="1"/>
        <rFont val="Calibri"/>
        <family val="2"/>
        <scheme val="minor"/>
      </rPr>
      <t xml:space="preserve"> </t>
    </r>
    <r>
      <rPr>
        <b/>
        <sz val="11"/>
        <color theme="1"/>
        <rFont val="Calibri"/>
        <family val="2"/>
        <scheme val="minor"/>
      </rPr>
      <t>Date</t>
    </r>
  </si>
  <si>
    <r>
      <rPr>
        <b/>
        <sz val="11"/>
        <color theme="1"/>
        <rFont val="Calibri"/>
        <family val="2"/>
        <scheme val="minor"/>
      </rPr>
      <t>Tax</t>
    </r>
    <r>
      <rPr>
        <sz val="11"/>
        <color theme="1"/>
        <rFont val="Calibri"/>
        <family val="2"/>
        <scheme val="minor"/>
      </rPr>
      <t xml:space="preserve"> </t>
    </r>
    <r>
      <rPr>
        <b/>
        <sz val="11"/>
        <color theme="1"/>
        <rFont val="Calibri"/>
        <family val="2"/>
        <scheme val="minor"/>
      </rPr>
      <t>Inclusive</t>
    </r>
    <r>
      <rPr>
        <sz val="11"/>
        <color theme="1"/>
        <rFont val="Calibri"/>
        <family val="2"/>
        <scheme val="minor"/>
      </rPr>
      <t xml:space="preserve"> </t>
    </r>
    <r>
      <rPr>
        <b/>
        <sz val="11"/>
        <color theme="1"/>
        <rFont val="Calibri"/>
        <family val="2"/>
        <scheme val="minor"/>
      </rPr>
      <t>Amount</t>
    </r>
  </si>
  <si>
    <r>
      <rPr>
        <b/>
        <sz val="11"/>
        <color theme="1"/>
        <rFont val="Calibri"/>
        <family val="2"/>
        <scheme val="minor"/>
      </rPr>
      <t>Bank</t>
    </r>
    <r>
      <rPr>
        <sz val="11"/>
        <color theme="1"/>
        <rFont val="Calibri"/>
        <family val="2"/>
        <scheme val="minor"/>
      </rPr>
      <t xml:space="preserve"> </t>
    </r>
    <r>
      <rPr>
        <b/>
        <sz val="11"/>
        <color theme="1"/>
        <rFont val="Calibri"/>
        <family val="2"/>
        <scheme val="minor"/>
      </rPr>
      <t>Code</t>
    </r>
  </si>
  <si>
    <r>
      <rPr>
        <b/>
        <sz val="11"/>
        <color theme="1"/>
        <rFont val="Calibri"/>
        <family val="2"/>
        <scheme val="minor"/>
      </rPr>
      <t>Payment</t>
    </r>
    <r>
      <rPr>
        <sz val="11"/>
        <color theme="1"/>
        <rFont val="Calibri"/>
        <family val="2"/>
        <scheme val="minor"/>
      </rPr>
      <t xml:space="preserve"> </t>
    </r>
    <r>
      <rPr>
        <b/>
        <sz val="11"/>
        <color theme="1"/>
        <rFont val="Calibri"/>
        <family val="2"/>
        <scheme val="minor"/>
      </rPr>
      <t>Date</t>
    </r>
  </si>
  <si>
    <t xml:space="preserve">                   2/14/2011</t>
  </si>
  <si>
    <t xml:space="preserve">                   3/15/2011</t>
  </si>
  <si>
    <t xml:space="preserve">                   3/18/2011</t>
  </si>
  <si>
    <t xml:space="preserve">                   3/20/2011</t>
  </si>
  <si>
    <t xml:space="preserve">                   3/26/2011</t>
  </si>
  <si>
    <t xml:space="preserve">                   3/31/2011</t>
  </si>
  <si>
    <t xml:space="preserve">                 4/15/2011</t>
  </si>
  <si>
    <t xml:space="preserve">                    4/15/2011</t>
  </si>
  <si>
    <t xml:space="preserve">                   4/15/2011</t>
  </si>
  <si>
    <t xml:space="preserve">                   4/20/2011</t>
  </si>
  <si>
    <t xml:space="preserve">                   4/25/2011</t>
  </si>
  <si>
    <t xml:space="preserve">                   4/26/2011</t>
  </si>
  <si>
    <t xml:space="preserve">                  4/26/2011</t>
  </si>
  <si>
    <t xml:space="preserve">                  4/29/2011</t>
  </si>
  <si>
    <t xml:space="preserve">                  4/30/2011</t>
  </si>
  <si>
    <t xml:space="preserve">                  5/15/2011</t>
  </si>
  <si>
    <t xml:space="preserve">                   5/15/2011</t>
  </si>
  <si>
    <t xml:space="preserve">                  5/20/2011</t>
  </si>
  <si>
    <t xml:space="preserve">                  5/26/2011</t>
  </si>
  <si>
    <t xml:space="preserve">                 5/20/2011</t>
  </si>
  <si>
    <t xml:space="preserve">                 5/26/2011</t>
  </si>
  <si>
    <t xml:space="preserve">                4/20/2011</t>
  </si>
  <si>
    <t xml:space="preserve">                4/26/2011</t>
  </si>
  <si>
    <t xml:space="preserve">               4/26/2011</t>
  </si>
  <si>
    <t xml:space="preserve">                5/31/2011</t>
  </si>
  <si>
    <t xml:space="preserve">                3/31/2011</t>
  </si>
  <si>
    <t xml:space="preserve">                 3/15/2011</t>
  </si>
  <si>
    <t xml:space="preserve">                3/18/2011</t>
  </si>
  <si>
    <t xml:space="preserve">                 3/20/2011</t>
  </si>
  <si>
    <t xml:space="preserve">                3/20/2011</t>
  </si>
  <si>
    <t xml:space="preserve">                3/26/2011</t>
  </si>
  <si>
    <t xml:space="preserve">                 3/26/2011</t>
  </si>
  <si>
    <t xml:space="preserve">                 3/31/2011</t>
  </si>
  <si>
    <t xml:space="preserve">                4/30/2011</t>
  </si>
  <si>
    <t xml:space="preserve">                  2/3/2011</t>
  </si>
  <si>
    <t xml:space="preserve">                   1/4/2011</t>
  </si>
  <si>
    <t xml:space="preserve">                   5/3/2011</t>
  </si>
  <si>
    <t xml:space="preserve">                   2/4/2011</t>
  </si>
  <si>
    <t xml:space="preserve">                    1/5/2011</t>
  </si>
  <si>
    <t xml:space="preserve">                    5/4/2011</t>
  </si>
  <si>
    <t xml:space="preserve">                  12/4/2011</t>
  </si>
  <si>
    <t xml:space="preserve">                   3/5/2011</t>
  </si>
  <si>
    <t xml:space="preserve">                   5/5/2011</t>
  </si>
  <si>
    <t xml:space="preserve">                   7/5/2011</t>
  </si>
  <si>
    <t xml:space="preserve">                   6/6/2011</t>
  </si>
  <si>
    <t xml:space="preserve">                   2/6/2011</t>
  </si>
  <si>
    <t xml:space="preserve">                     7/5/2011</t>
  </si>
  <si>
    <t xml:space="preserve">                      5/5/2011</t>
  </si>
  <si>
    <t xml:space="preserve">                      1/5/2011</t>
  </si>
  <si>
    <t xml:space="preserve">                    12/4/2011</t>
  </si>
  <si>
    <t xml:space="preserve">                      5/4/2011</t>
  </si>
  <si>
    <t xml:space="preserve">                      1/4/2011</t>
  </si>
  <si>
    <t xml:space="preserve">                     5/3/2011</t>
  </si>
  <si>
    <t xml:space="preserve">                      2/3/2011</t>
  </si>
  <si>
    <t xml:space="preserve">                      1/3/2011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</si>
</sst>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14009]dd/mm/yyyy;@"/>
    <numFmt numFmtId="167" formatCode="[$-14009]d/m/yy;@"/>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0" fontId="0" fillId="0" borderId="0" xfId="0" applyNumberFormat="1"/>
    <xf numFmtId="0" fontId="1"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4" fontId="0" fillId="0" borderId="0" xfId="0" applyNumberFormat="1"/>
    <xf numFmtId="165" fontId="0" fillId="0" borderId="0" xfId="0" applyNumberFormat="1"/>
    <xf numFmtId="167" fontId="0" fillId="0" borderId="0" xfId="0" applyNumberFormat="1"/>
  </cellXfs>
  <cellStyles count="1">
    <cellStyle name="Normal" xfId="0" builtinId="0"/>
  </cellStyles>
  <dxfs count="4">
    <dxf>
      <numFmt numFmtId="167" formatCode="[$-14009]d/m/yy;@"/>
    </dxf>
    <dxf>
      <numFmt numFmtId="4" formatCode="#,##0.00"/>
    </dxf>
    <dxf>
      <numFmt numFmtId="165" formatCode="[$-14009]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[Expenses_Example_Limited-P.xlsx]Pivot_Slicer!PivotTable22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Pivot_Slicer!$B$3</c:f>
              <c:strCache>
                <c:ptCount val="1"/>
                <c:pt idx="0">
                  <c:v>Total</c:v>
                </c:pt>
              </c:strCache>
            </c:strRef>
          </c:tx>
          <c:spPr>
            <a:solidFill>
              <a:schemeClr val="accent1"/>
            </a:solidFill>
            <a:ln>
              <a:noFill/>
            </a:ln>
            <a:effectLst/>
          </c:spPr>
          <c:invertIfNegative val="0"/>
          <c:cat>
            <c:multiLvlStrRef>
              <c:f>Pivot_Slicer!$A$4:$A$7</c:f>
              <c:multiLvlStrCache>
                <c:ptCount val="2"/>
                <c:lvl>
                  <c:pt idx="0">
                    <c:v>IS-375</c:v>
                  </c:pt>
                  <c:pt idx="1">
                    <c:v>IS-390</c:v>
                  </c:pt>
                </c:lvl>
                <c:lvl>
                  <c:pt idx="0">
                    <c:v>A</c:v>
                  </c:pt>
                </c:lvl>
              </c:multiLvlStrCache>
            </c:multiLvlStrRef>
          </c:cat>
          <c:val>
            <c:numRef>
              <c:f>Pivot_Slicer!$B$4:$B$7</c:f>
              <c:numCache>
                <c:formatCode>General</c:formatCode>
                <c:ptCount val="2"/>
                <c:pt idx="0">
                  <c:v>478</c:v>
                </c:pt>
                <c:pt idx="1">
                  <c:v>763</c:v>
                </c:pt>
              </c:numCache>
            </c:numRef>
          </c:val>
          <c:extLst>
            <c:ext xmlns:c16="http://schemas.microsoft.com/office/drawing/2014/chart" uri="{C3380CC4-5D6E-409C-BE32-E72D297353CC}">
              <c16:uniqueId val="{00000000-AE33-4381-A8D5-CA848B8E7070}"/>
            </c:ext>
          </c:extLst>
        </c:ser>
        <c:dLbls>
          <c:showLegendKey val="0"/>
          <c:showVal val="0"/>
          <c:showCatName val="0"/>
          <c:showSerName val="0"/>
          <c:showPercent val="0"/>
          <c:showBubbleSize val="0"/>
        </c:dLbls>
        <c:gapWidth val="219"/>
        <c:overlap val="-27"/>
        <c:axId val="385234120"/>
        <c:axId val="385232680"/>
      </c:barChart>
      <c:catAx>
        <c:axId val="385234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232680"/>
        <c:crosses val="autoZero"/>
        <c:auto val="1"/>
        <c:lblAlgn val="ctr"/>
        <c:lblOffset val="100"/>
        <c:noMultiLvlLbl val="0"/>
      </c:catAx>
      <c:valAx>
        <c:axId val="385232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234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123825</xdr:colOff>
      <xdr:row>1</xdr:row>
      <xdr:rowOff>114300</xdr:rowOff>
    </xdr:from>
    <xdr:to>
      <xdr:col>5</xdr:col>
      <xdr:colOff>123825</xdr:colOff>
      <xdr:row>12</xdr:row>
      <xdr:rowOff>57150</xdr:rowOff>
    </xdr:to>
    <mc:AlternateContent xmlns:mc="http://schemas.openxmlformats.org/markup-compatibility/2006">
      <mc:Choice xmlns:a14="http://schemas.microsoft.com/office/drawing/2010/main" Requires="a14">
        <xdr:graphicFrame macro="">
          <xdr:nvGraphicFramePr>
            <xdr:cNvPr id="2" name="Account Code">
              <a:extLst>
                <a:ext uri="{FF2B5EF4-FFF2-40B4-BE49-F238E27FC236}">
                  <a16:creationId xmlns:a16="http://schemas.microsoft.com/office/drawing/2014/main" id="{342D24BC-06F5-7084-E1B2-8A22EA78D37B}"/>
                </a:ext>
              </a:extLst>
            </xdr:cNvPr>
            <xdr:cNvGraphicFramePr/>
          </xdr:nvGraphicFramePr>
          <xdr:xfrm>
            <a:off x="0" y="0"/>
            <a:ext cx="0" cy="0"/>
          </xdr:xfrm>
          <a:graphic>
            <a:graphicData uri="http://schemas.microsoft.com/office/drawing/2010/slicer">
              <sle:slicer xmlns:sle="http://schemas.microsoft.com/office/drawing/2010/slicer" name="Account Code"/>
            </a:graphicData>
          </a:graphic>
        </xdr:graphicFrame>
      </mc:Choice>
      <mc:Fallback>
        <xdr:sp macro="" textlink="">
          <xdr:nvSpPr>
            <xdr:cNvPr id="0" name=""/>
            <xdr:cNvSpPr>
              <a:spLocks noTextEdit="1"/>
            </xdr:cNvSpPr>
          </xdr:nvSpPr>
          <xdr:spPr>
            <a:xfrm>
              <a:off x="2800350" y="304800"/>
              <a:ext cx="1828800" cy="2038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76200</xdr:colOff>
      <xdr:row>0</xdr:row>
      <xdr:rowOff>128587</xdr:rowOff>
    </xdr:from>
    <xdr:to>
      <xdr:col>9</xdr:col>
      <xdr:colOff>381000</xdr:colOff>
      <xdr:row>15</xdr:row>
      <xdr:rowOff>14287</xdr:rowOff>
    </xdr:to>
    <xdr:graphicFrame macro="">
      <xdr:nvGraphicFramePr>
        <xdr:cNvPr id="3" name="Chart 2">
          <a:extLst>
            <a:ext uri="{FF2B5EF4-FFF2-40B4-BE49-F238E27FC236}">
              <a16:creationId xmlns:a16="http://schemas.microsoft.com/office/drawing/2014/main" id="{CDB85B9B-4156-9E19-9FC9-5D73517438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15.706168750003" createdVersion="8" refreshedVersion="8" minRefreshableVersion="3" recordCount="47" xr:uid="{CED3A40C-E8FB-4CEB-9A0F-18881F05A7F8}">
  <cacheSource type="worksheet">
    <worksheetSource name="Table79"/>
  </cacheSource>
  <cacheFields count="9">
    <cacheField name="Document Date" numFmtId="165">
      <sharedItems/>
    </cacheField>
    <cacheField name="Supplier" numFmtId="0">
      <sharedItems/>
    </cacheField>
    <cacheField name="Reference" numFmtId="0">
      <sharedItems/>
    </cacheField>
    <cacheField name="Description" numFmtId="0">
      <sharedItems/>
    </cacheField>
    <cacheField name="Tax Inclusive Amount" numFmtId="0">
      <sharedItems containsSemiMixedTypes="0" containsString="0" containsNumber="1" containsInteger="1" minValue="-20000" maxValue="20000"/>
    </cacheField>
    <cacheField name="Column1" numFmtId="0">
      <sharedItems count="2">
        <s v="A"/>
        <s v="E"/>
      </sharedItems>
    </cacheField>
    <cacheField name="Bank Code" numFmtId="0">
      <sharedItems/>
    </cacheField>
    <cacheField name="Account Code" numFmtId="0">
      <sharedItems count="18">
        <s v="BS-500"/>
        <s v="IS-380"/>
        <s v="IS-375"/>
        <s v="IS-340"/>
        <s v="IS-315"/>
        <s v="IS-305"/>
        <s v="IS-345"/>
        <s v="IS-390"/>
        <s v="BS-399"/>
        <s v="IS-365"/>
        <s v="BS-700"/>
        <s v="IS-500"/>
        <s v="IS-350"/>
        <s v="BS-600"/>
        <s v="BS-100"/>
        <s v="IS-325"/>
        <s v="IS-385"/>
        <s v="IS-370"/>
      </sharedItems>
    </cacheField>
    <cacheField name="Payment Date" numFmtId="167">
      <sharedItems/>
    </cacheField>
  </cacheFields>
  <extLst>
    <ext xmlns:x14="http://schemas.microsoft.com/office/spreadsheetml/2009/9/main" uri="{725AE2AE-9491-48be-B2B4-4EB974FC3084}">
      <x14:pivotCacheDefinition pivotCacheId="7860072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
  <r>
    <s v="                   2/14/2011"/>
    <s v="XY Solutions"/>
    <s v="S77782"/>
    <s v="Opening Balance"/>
    <n v="5100"/>
    <x v="0"/>
    <s v="B1"/>
    <x v="0"/>
    <s v="                  2/3/2011"/>
  </r>
  <r>
    <s v="                      1/3/2011"/>
    <s v="IS Communications"/>
    <s v="Invoice EXP22"/>
    <s v="Internet Service Provider"/>
    <n v="179"/>
    <x v="0"/>
    <s v="B1"/>
    <x v="1"/>
    <s v="                3/31/2011"/>
  </r>
  <r>
    <s v="                      2/3/2011"/>
    <s v="Newscorp"/>
    <s v="I381119"/>
    <s v="Subscriptions"/>
    <n v="478"/>
    <x v="0"/>
    <s v="B1"/>
    <x v="2"/>
    <s v="                   1/4/2011"/>
  </r>
  <r>
    <s v="                     5/3/2011"/>
    <s v="EAG Brokers"/>
    <s v="Debit Order"/>
    <s v="Insurance"/>
    <n v="340"/>
    <x v="0"/>
    <s v="B1"/>
    <x v="3"/>
    <s v="                   5/3/2011"/>
  </r>
  <r>
    <s v="                   3/15/2011"/>
    <s v="Capital Bank"/>
    <s v="Bank Statement"/>
    <s v="Service Fees"/>
    <n v="50"/>
    <x v="0"/>
    <s v="B1"/>
    <x v="4"/>
    <s v="                 3/15/2011"/>
  </r>
  <r>
    <s v="                  3/15/2011"/>
    <s v="Capital Bank"/>
    <s v="Bank Statement"/>
    <s v="Service Fees"/>
    <n v="35"/>
    <x v="0"/>
    <s v="B2"/>
    <x v="4"/>
    <s v="                 3/15/2011"/>
  </r>
  <r>
    <s v="                   3/15/2011"/>
    <s v="IAS Accountants"/>
    <s v="Invoice"/>
    <s v="Bookkeeping"/>
    <n v="1000"/>
    <x v="0"/>
    <s v="B1"/>
    <x v="5"/>
    <s v="                   2/4/2011"/>
  </r>
  <r>
    <s v="                   3/15/2011"/>
    <s v="Interflora"/>
    <s v="Cash"/>
    <s v="Flowers"/>
    <n v="90"/>
    <x v="0"/>
    <s v="PC"/>
    <x v="6"/>
    <s v="                3/15/2011"/>
  </r>
  <r>
    <s v="                   3/18/2011"/>
    <s v="QQ International"/>
    <s v="TR6998"/>
    <s v="Parking"/>
    <n v="200"/>
    <x v="0"/>
    <s v="B1"/>
    <x v="7"/>
    <s v="                3/18/2011"/>
  </r>
  <r>
    <s v="                   3/20/2011"/>
    <s v="Example (Pty) Ltd"/>
    <s v="Transfer"/>
    <s v="Inter Account Transfer"/>
    <n v="-15000"/>
    <x v="1"/>
    <s v="B2"/>
    <x v="8"/>
    <s v="                 3/20/2011"/>
  </r>
  <r>
    <s v="                   3/20/2011"/>
    <s v="Example (Pty) Ltd"/>
    <s v="Transfer"/>
    <s v="Inter Account Transfer"/>
    <n v="15000"/>
    <x v="1"/>
    <s v="B1"/>
    <x v="8"/>
    <s v="                3/20/2011"/>
  </r>
  <r>
    <s v="                   3/26/2011"/>
    <s v="Example (Pty) Ltd"/>
    <s v="Payroll"/>
    <s v="Salaries"/>
    <n v="13000"/>
    <x v="1"/>
    <s v="B2"/>
    <x v="9"/>
    <s v="                3/26/2011"/>
  </r>
  <r>
    <s v="                   3/26/2011"/>
    <s v="HP Finance"/>
    <s v="Debit Order"/>
    <s v="Capital repayment"/>
    <n v="220"/>
    <x v="1"/>
    <s v="B1"/>
    <x v="10"/>
    <s v="                 3/26/2011"/>
  </r>
  <r>
    <s v="                   3/26/2011"/>
    <s v="HP Finance"/>
    <s v="Debit Order"/>
    <s v="Interest paid"/>
    <n v="100"/>
    <x v="1"/>
    <s v="B1"/>
    <x v="11"/>
    <s v="                 3/26/2011"/>
  </r>
  <r>
    <s v="                   3/26/2011"/>
    <s v="PR Properties"/>
    <s v="Debit Order"/>
    <s v="Rent"/>
    <n v="6400"/>
    <x v="0"/>
    <s v="B1"/>
    <x v="12"/>
    <s v="                 3/26/2011"/>
  </r>
  <r>
    <s v="                   3/31/2011"/>
    <s v="Example (Pty) Ltd"/>
    <s v="Bank Statement"/>
    <s v="Petty Cash Reimbursement"/>
    <n v="100"/>
    <x v="1"/>
    <s v="B1"/>
    <x v="8"/>
    <s v="                3/31/2011"/>
  </r>
  <r>
    <s v="                   3/31/2011"/>
    <s v="Example (Pty) Ltd"/>
    <s v="Bank Statement"/>
    <s v="Petty Cash Reimbursement"/>
    <n v="-100"/>
    <x v="1"/>
    <s v="PC"/>
    <x v="8"/>
    <s v="                 3/31/2011"/>
  </r>
  <r>
    <s v="                      1/4/2011"/>
    <s v="IS Communications"/>
    <s v="Invoice EXP23"/>
    <s v="Internet Service Provider"/>
    <n v="179"/>
    <x v="0"/>
    <s v="B1"/>
    <x v="1"/>
    <s v="                    1/5/2011"/>
  </r>
  <r>
    <s v="                      5/4/2011"/>
    <s v="EAG Brokers"/>
    <s v="Debit Order"/>
    <s v="Insurance"/>
    <n v="340"/>
    <x v="0"/>
    <s v="B1"/>
    <x v="3"/>
    <s v="                    5/4/2011"/>
  </r>
  <r>
    <s v="                    12/4/2011"/>
    <s v="Interflora"/>
    <s v="Cash"/>
    <s v="Flowers"/>
    <n v="87"/>
    <x v="0"/>
    <s v="PC"/>
    <x v="6"/>
    <s v="                  12/4/2011"/>
  </r>
  <r>
    <s v="                   4/15/2011"/>
    <s v="Capital Bank"/>
    <s v="Bank Statement"/>
    <s v="Service Fees"/>
    <n v="80"/>
    <x v="0"/>
    <s v="B1"/>
    <x v="4"/>
    <s v="                 4/15/2011"/>
  </r>
  <r>
    <s v="                    4/15/2011"/>
    <s v="Capital Bank"/>
    <s v="Bank Statement"/>
    <s v="Service Fees"/>
    <n v="35"/>
    <x v="0"/>
    <s v="B2"/>
    <x v="4"/>
    <s v="                 4/15/2011"/>
  </r>
  <r>
    <s v="                   4/15/2011"/>
    <s v="IAS Accountants"/>
    <s v="Invoice"/>
    <s v="Bookkeeping"/>
    <n v="1000"/>
    <x v="0"/>
    <s v="B1"/>
    <x v="5"/>
    <s v="                   3/5/2011"/>
  </r>
  <r>
    <s v="                   4/20/2011"/>
    <s v="Example (Pty) Ltd"/>
    <s v="Transfer"/>
    <s v="Inter Account Transfer"/>
    <n v="-20000"/>
    <x v="1"/>
    <s v="B2"/>
    <x v="8"/>
    <s v="                4/20/2011"/>
  </r>
  <r>
    <s v="                   4/20/2011"/>
    <s v="Example (Pty) Ltd"/>
    <s v="Transfer"/>
    <s v="Inter Account Transfer"/>
    <n v="20000"/>
    <x v="1"/>
    <s v="B1"/>
    <x v="8"/>
    <s v="                4/20/2011"/>
  </r>
  <r>
    <s v="                   4/25/2011"/>
    <s v="Inland Revenue"/>
    <s v="Return"/>
    <s v="Sales Tax"/>
    <n v="1300"/>
    <x v="1"/>
    <s v="B1"/>
    <x v="13"/>
    <s v="                 4/25/2011"/>
  </r>
  <r>
    <s v="                   4/26/2011"/>
    <s v="Example (Pty) Ltd"/>
    <s v="Payroll"/>
    <s v="Salaries"/>
    <n v="20000"/>
    <x v="1"/>
    <s v="B2"/>
    <x v="9"/>
    <s v="                 4/26/2011"/>
  </r>
  <r>
    <s v="                  4/26/2011"/>
    <s v="Furniture City"/>
    <s v="Invoice"/>
    <s v="Furniture"/>
    <n v="3000"/>
    <x v="0"/>
    <s v="B1"/>
    <x v="14"/>
    <s v="                5/26/2011"/>
  </r>
  <r>
    <s v="                  4/26/2011"/>
    <s v="HP Finance"/>
    <s v="Debit Order"/>
    <s v="Capital repayment"/>
    <n v="220"/>
    <x v="1"/>
    <s v="B1"/>
    <x v="10"/>
    <s v="                4/26/2011"/>
  </r>
  <r>
    <s v="                  4/26/2011"/>
    <s v="HP Finance"/>
    <s v="Debit Order"/>
    <s v="Interest paid"/>
    <n v="100"/>
    <x v="1"/>
    <s v="B1"/>
    <x v="11"/>
    <s v="                4/26/2011"/>
  </r>
  <r>
    <s v="                  4/26/2011"/>
    <s v="PR Properties"/>
    <s v="Debit Order"/>
    <s v="Rent"/>
    <n v="6400"/>
    <x v="0"/>
    <s v="B1"/>
    <x v="12"/>
    <s v="               4/26/2011"/>
  </r>
  <r>
    <s v="                  4/29/2011"/>
    <s v="GF Supplies"/>
    <s v="IN1179"/>
    <s v="Consumables"/>
    <n v="41"/>
    <x v="0"/>
    <s v="PC"/>
    <x v="15"/>
    <s v="               5/29/2011"/>
  </r>
  <r>
    <s v="                  4/30/2011"/>
    <s v="Example (Pty) Ltd"/>
    <s v="Bank Statement"/>
    <s v="Petty Cash Reimbursement"/>
    <n v="100"/>
    <x v="1"/>
    <s v="B1"/>
    <x v="8"/>
    <s v="                4/30/2011"/>
  </r>
  <r>
    <s v="                  4/30/2011"/>
    <s v="Example (Pty) Ltd"/>
    <s v="Bank Statement"/>
    <s v="Petty Cash Reimbursement"/>
    <n v="-100"/>
    <x v="1"/>
    <s v="PC"/>
    <x v="8"/>
    <s v="                4/30/2011"/>
  </r>
  <r>
    <s v="                      1/5/2011"/>
    <s v="IS Communications"/>
    <s v="Invoice EXP24"/>
    <s v="Internet Service Provider"/>
    <n v="179"/>
    <x v="0"/>
    <s v="B1"/>
    <x v="1"/>
    <s v="                5/31/2011"/>
  </r>
  <r>
    <s v="                      1/5/2011"/>
    <s v="Training Inc"/>
    <s v="Invoice"/>
    <s v="Course"/>
    <n v="220"/>
    <x v="0"/>
    <s v="B1"/>
    <x v="16"/>
    <s v="                5/31/2011"/>
  </r>
  <r>
    <s v="                      5/5/2011"/>
    <s v="EAG Brokers"/>
    <s v="Debit Order"/>
    <s v="Insurance"/>
    <n v="340"/>
    <x v="0"/>
    <s v="B1"/>
    <x v="3"/>
    <s v="                   5/5/2011"/>
  </r>
  <r>
    <s v="                     7/5/2011"/>
    <s v="City Lodge"/>
    <s v="S50037"/>
    <s v="Accommodation"/>
    <n v="563"/>
    <x v="0"/>
    <s v="B1"/>
    <x v="7"/>
    <s v="                   7/5/2011"/>
  </r>
  <r>
    <s v="                     7/5/2011"/>
    <s v="Waltons"/>
    <s v="Invoice"/>
    <s v="Stationery"/>
    <n v="982"/>
    <x v="0"/>
    <s v="B1"/>
    <x v="17"/>
    <s v="                   6/6/2011"/>
  </r>
  <r>
    <s v="                  5/15/2011"/>
    <s v="Capital Bank"/>
    <s v="Bank Statement"/>
    <s v="Service Fees"/>
    <n v="80"/>
    <x v="0"/>
    <s v="B1"/>
    <x v="4"/>
    <s v="                  5/15/2011"/>
  </r>
  <r>
    <s v="                   5/15/2011"/>
    <s v="Capital Bank"/>
    <s v="Bank Statement"/>
    <s v="Service Fees"/>
    <n v="35"/>
    <x v="0"/>
    <s v="B2"/>
    <x v="4"/>
    <s v="                  5/15/2011"/>
  </r>
  <r>
    <s v="                  5/15/2011"/>
    <s v="IAS Accountants"/>
    <s v="Invoice"/>
    <s v="Bookkeeping"/>
    <n v="1000"/>
    <x v="0"/>
    <s v="B1"/>
    <x v="5"/>
    <s v="                   2/6/2011"/>
  </r>
  <r>
    <s v="                  5/20/2011"/>
    <s v="Example (Pty) Ltd"/>
    <s v="Transfer"/>
    <s v="Inter Account Transfer"/>
    <n v="-20000"/>
    <x v="1"/>
    <s v="B2"/>
    <x v="8"/>
    <s v="                 5/20/2011"/>
  </r>
  <r>
    <s v="                  5/20/2011"/>
    <s v="Example (Pty) Ltd"/>
    <s v="Transfer"/>
    <s v="Inter Account Transfer"/>
    <n v="20000"/>
    <x v="1"/>
    <s v="B1"/>
    <x v="8"/>
    <s v="                 5/20/2011"/>
  </r>
  <r>
    <s v="                  5/26/2011"/>
    <s v="Example (Pty) Ltd"/>
    <s v="Payroll"/>
    <s v="Salaries"/>
    <n v="20000"/>
    <x v="1"/>
    <s v="B2"/>
    <x v="9"/>
    <s v="                 5/26/2011"/>
  </r>
  <r>
    <s v="                  5/26/2011"/>
    <s v="HP Finance"/>
    <s v="Debit Order"/>
    <s v="Capital repayment"/>
    <n v="220"/>
    <x v="1"/>
    <s v="B1"/>
    <x v="10"/>
    <s v="                 5/26/2011"/>
  </r>
  <r>
    <s v="                  5/26/2011"/>
    <s v="HP Finance"/>
    <s v="Debit Order"/>
    <s v="Interest paid"/>
    <n v="100"/>
    <x v="1"/>
    <s v="B1"/>
    <x v="11"/>
    <s v="                  5/26/20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35A3BD-AB21-41FA-83C8-D79E19B4CFCB}" name="PivotTable22"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 firstHeaderRow="1" firstDataRow="1" firstDataCol="1"/>
  <pivotFields count="9">
    <pivotField showAll="0"/>
    <pivotField showAll="0"/>
    <pivotField showAll="0"/>
    <pivotField showAll="0"/>
    <pivotField dataField="1" showAll="0"/>
    <pivotField axis="axisRow" showAll="0">
      <items count="3">
        <item x="0"/>
        <item h="1" x="1"/>
        <item t="default"/>
      </items>
    </pivotField>
    <pivotField showAll="0"/>
    <pivotField axis="axisRow" showAll="0">
      <items count="19">
        <item h="1" x="14"/>
        <item h="1" x="8"/>
        <item h="1" x="0"/>
        <item h="1" x="13"/>
        <item h="1" x="10"/>
        <item h="1" x="5"/>
        <item h="1" x="4"/>
        <item h="1" x="15"/>
        <item h="1" x="3"/>
        <item h="1" x="6"/>
        <item h="1" x="12"/>
        <item h="1" x="9"/>
        <item h="1" x="17"/>
        <item x="2"/>
        <item h="1" x="1"/>
        <item h="1" x="16"/>
        <item x="7"/>
        <item h="1" x="11"/>
        <item t="default"/>
      </items>
    </pivotField>
    <pivotField showAll="0"/>
  </pivotFields>
  <rowFields count="2">
    <field x="5"/>
    <field x="7"/>
  </rowFields>
  <rowItems count="4">
    <i>
      <x/>
    </i>
    <i r="1">
      <x v="13"/>
    </i>
    <i r="1">
      <x v="16"/>
    </i>
    <i t="grand">
      <x/>
    </i>
  </rowItems>
  <colItems count="1">
    <i/>
  </colItems>
  <dataFields count="1">
    <dataField name="Sum of Tax Inclusive Amount"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Code" xr10:uid="{5A88B18C-47D0-44A9-8C56-1753D4485138}" sourceName="Account Code">
  <pivotTables>
    <pivotTable tabId="15" name="PivotTable22"/>
  </pivotTables>
  <data>
    <tabular pivotCacheId="786007264">
      <items count="18">
        <i x="14"/>
        <i x="0"/>
        <i x="5"/>
        <i x="4"/>
        <i x="15"/>
        <i x="3"/>
        <i x="6"/>
        <i x="12"/>
        <i x="17"/>
        <i x="2" s="1"/>
        <i x="1"/>
        <i x="16"/>
        <i x="7" s="1"/>
        <i x="8" nd="1"/>
        <i x="13" nd="1"/>
        <i x="10" nd="1"/>
        <i x="9" nd="1"/>
        <i x="1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Code" xr10:uid="{FCFFAB51-2D38-4363-897B-ED7B1BC78D5F}" cache="Slicer_Account_Code" caption="Account Code" startItem="7"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4DAF227-38CE-46FD-B77B-8E434B58F5E3}" name="Table2" displayName="Table2" ref="A1:I18" totalsRowShown="0">
  <autoFilter ref="A1:I18" xr:uid="{94DAF227-38CE-46FD-B77B-8E434B58F5E3}"/>
  <tableColumns count="9">
    <tableColumn id="1" xr3:uid="{572F14D9-8E5B-4FAE-9A38-C7D7C0988380}" name="Document Date" dataDxfId="3"/>
    <tableColumn id="2" xr3:uid="{DA4FE70A-DC24-49F6-872F-402B8A028B43}" name="Supplier"/>
    <tableColumn id="3" xr3:uid="{3D486EE4-1D01-47DF-8D5F-6B432CCD652B}" name="Reference"/>
    <tableColumn id="4" xr3:uid="{2D8326AE-D7A0-43F6-8254-A1BA940C3700}" name="Description"/>
    <tableColumn id="6" xr3:uid="{851CD0A8-0F6E-4D99-8F42-A8232EA0F0F0}" name="Tax Inclusive Amount"/>
    <tableColumn id="7" xr3:uid="{4E234703-CE8D-42E3-BFEE-0DFEF54C5C1C}" name="Tax Code"/>
    <tableColumn id="8" xr3:uid="{117199C9-FCB8-4B69-9C22-C8C37DFA7E25}" name="Bank Code"/>
    <tableColumn id="9" xr3:uid="{50FD786A-A4CE-40A9-8D93-3883FE9F26FC}" name="Account Code"/>
    <tableColumn id="10" xr3:uid="{F2557153-128E-44A4-B2FF-6CE15ECD772F}" name="Payment Dat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EF09E91-F88B-4B7C-91A5-7CBBC0073813}" name="Table7" displayName="Table7" ref="A1:I48" totalsRowShown="0">
  <autoFilter ref="A1:I48" xr:uid="{BEF09E91-F88B-4B7C-91A5-7CBBC0073813}"/>
  <tableColumns count="9">
    <tableColumn id="1" xr3:uid="{1B305A2F-E7D0-4F2B-A11D-28638781F391}" name="Document Date" dataDxfId="2"/>
    <tableColumn id="2" xr3:uid="{48C541DD-1C6C-4953-AAC5-ABD9935EC412}" name="Supplier"/>
    <tableColumn id="3" xr3:uid="{A4A8458F-AF86-4628-80D2-27592C10775B}" name="Reference"/>
    <tableColumn id="4" xr3:uid="{5798E189-7B91-4C67-B84A-8E3B7D692F1C}" name="Description"/>
    <tableColumn id="5" xr3:uid="{19C96E48-98FE-4C51-906F-E4034F667F48}" name="Tax Inclusive Amount" dataDxfId="1"/>
    <tableColumn id="6" xr3:uid="{A1B8E321-B0CC-43D0-9EEC-009D5589243D}" name="Column1"/>
    <tableColumn id="7" xr3:uid="{555C1152-A37D-4CD0-8A61-12966349FD58}" name="Bank Code"/>
    <tableColumn id="8" xr3:uid="{1B7E10C5-99FF-4D48-84BF-825EF9FE7E5F}" name="Account Code"/>
    <tableColumn id="9" xr3:uid="{DB1FB73A-AF42-4EAF-BDC0-5AE3399C105C}" name="Payment Date" dataDxfId="0"/>
  </tableColumns>
  <tableStyleInfo name="TableStyleMedium2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0C9AD-5B7E-4F1A-B4F5-86AA809C5393}">
  <dimension ref="A1:I18"/>
  <sheetViews>
    <sheetView workbookViewId="0">
      <selection activeCell="D17" sqref="D17"/>
    </sheetView>
  </sheetViews>
  <sheetFormatPr defaultRowHeight="15" x14ac:dyDescent="0.25"/>
  <cols>
    <col min="1" max="1" width="17.140625" bestFit="1" customWidth="1"/>
    <col min="2" max="2" width="18.140625" bestFit="1" customWidth="1"/>
    <col min="3" max="3" width="15.140625" bestFit="1" customWidth="1"/>
    <col min="4" max="4" width="23.5703125" bestFit="1" customWidth="1"/>
    <col min="5" max="5" width="23.5703125" customWidth="1"/>
    <col min="6" max="6" width="12.42578125" customWidth="1"/>
    <col min="7" max="7" width="12.5703125" bestFit="1" customWidth="1"/>
    <col min="8" max="8" width="15.5703125" bestFit="1" customWidth="1"/>
    <col min="9" max="9" width="15.85546875" bestFit="1" customWidth="1"/>
    <col min="10" max="10" width="14" bestFit="1" customWidth="1"/>
  </cols>
  <sheetData>
    <row r="1" spans="1:9" x14ac:dyDescent="0.25">
      <c r="A1" t="s">
        <v>1</v>
      </c>
      <c r="B1" t="s">
        <v>2</v>
      </c>
      <c r="C1" t="s">
        <v>3</v>
      </c>
      <c r="D1" t="s">
        <v>4</v>
      </c>
      <c r="E1" t="s">
        <v>85</v>
      </c>
      <c r="F1" t="s">
        <v>86</v>
      </c>
      <c r="G1" t="s">
        <v>87</v>
      </c>
      <c r="H1" t="s">
        <v>88</v>
      </c>
      <c r="I1" t="s">
        <v>90</v>
      </c>
    </row>
    <row r="2" spans="1:9" x14ac:dyDescent="0.25">
      <c r="A2" t="s">
        <v>106</v>
      </c>
      <c r="B2" t="s">
        <v>6</v>
      </c>
      <c r="C2" t="s">
        <v>7</v>
      </c>
      <c r="D2" t="s">
        <v>8</v>
      </c>
      <c r="E2">
        <v>5100</v>
      </c>
      <c r="F2" t="s">
        <v>60</v>
      </c>
      <c r="G2" t="s">
        <v>61</v>
      </c>
      <c r="H2" t="s">
        <v>62</v>
      </c>
      <c r="I2" s="1" t="s">
        <v>91</v>
      </c>
    </row>
    <row r="3" spans="1:9" x14ac:dyDescent="0.25">
      <c r="A3" s="1" t="s">
        <v>107</v>
      </c>
      <c r="B3" t="s">
        <v>9</v>
      </c>
      <c r="C3" t="s">
        <v>10</v>
      </c>
      <c r="D3" t="s">
        <v>11</v>
      </c>
      <c r="E3">
        <v>179</v>
      </c>
      <c r="F3" t="s">
        <v>60</v>
      </c>
      <c r="G3" t="s">
        <v>61</v>
      </c>
      <c r="H3" t="s">
        <v>63</v>
      </c>
      <c r="I3" t="s">
        <v>92</v>
      </c>
    </row>
    <row r="4" spans="1:9" x14ac:dyDescent="0.25">
      <c r="A4" s="1" t="s">
        <v>108</v>
      </c>
      <c r="B4" t="s">
        <v>12</v>
      </c>
      <c r="C4" t="s">
        <v>13</v>
      </c>
      <c r="D4" t="s">
        <v>14</v>
      </c>
      <c r="E4">
        <v>478</v>
      </c>
      <c r="F4" t="s">
        <v>60</v>
      </c>
      <c r="G4" t="s">
        <v>61</v>
      </c>
      <c r="H4" t="s">
        <v>65</v>
      </c>
      <c r="I4" s="1" t="s">
        <v>93</v>
      </c>
    </row>
    <row r="5" spans="1:9" x14ac:dyDescent="0.25">
      <c r="A5" s="1" t="s">
        <v>109</v>
      </c>
      <c r="B5" t="s">
        <v>15</v>
      </c>
      <c r="C5" t="s">
        <v>16</v>
      </c>
      <c r="D5" t="s">
        <v>17</v>
      </c>
      <c r="E5">
        <v>340</v>
      </c>
      <c r="F5" t="s">
        <v>60</v>
      </c>
      <c r="G5" t="s">
        <v>61</v>
      </c>
      <c r="H5" t="s">
        <v>66</v>
      </c>
      <c r="I5" s="1" t="s">
        <v>94</v>
      </c>
    </row>
    <row r="6" spans="1:9" x14ac:dyDescent="0.25">
      <c r="A6" t="s">
        <v>110</v>
      </c>
      <c r="B6" t="s">
        <v>19</v>
      </c>
      <c r="C6" t="s">
        <v>20</v>
      </c>
      <c r="D6" t="s">
        <v>21</v>
      </c>
      <c r="E6">
        <v>50</v>
      </c>
      <c r="F6" t="s">
        <v>60</v>
      </c>
      <c r="G6" t="s">
        <v>61</v>
      </c>
      <c r="H6" t="s">
        <v>67</v>
      </c>
      <c r="I6" t="s">
        <v>95</v>
      </c>
    </row>
    <row r="7" spans="1:9" x14ac:dyDescent="0.25">
      <c r="A7" t="s">
        <v>110</v>
      </c>
      <c r="B7" t="s">
        <v>22</v>
      </c>
      <c r="C7" t="s">
        <v>23</v>
      </c>
      <c r="D7" t="s">
        <v>24</v>
      </c>
      <c r="E7">
        <v>1000</v>
      </c>
      <c r="F7" t="s">
        <v>60</v>
      </c>
      <c r="G7" t="s">
        <v>61</v>
      </c>
      <c r="H7" t="s">
        <v>68</v>
      </c>
      <c r="I7" s="1" t="s">
        <v>96</v>
      </c>
    </row>
    <row r="8" spans="1:9" x14ac:dyDescent="0.25">
      <c r="A8" t="s">
        <v>110</v>
      </c>
      <c r="B8" t="s">
        <v>25</v>
      </c>
      <c r="C8" t="s">
        <v>26</v>
      </c>
      <c r="D8" t="s">
        <v>27</v>
      </c>
      <c r="E8">
        <v>90</v>
      </c>
      <c r="F8" t="s">
        <v>60</v>
      </c>
      <c r="G8" t="s">
        <v>69</v>
      </c>
      <c r="H8" t="s">
        <v>70</v>
      </c>
      <c r="I8" t="s">
        <v>95</v>
      </c>
    </row>
    <row r="9" spans="1:9" x14ac:dyDescent="0.25">
      <c r="A9" t="s">
        <v>111</v>
      </c>
      <c r="B9" t="s">
        <v>29</v>
      </c>
      <c r="C9" t="s">
        <v>30</v>
      </c>
      <c r="D9" t="s">
        <v>31</v>
      </c>
      <c r="E9">
        <v>200</v>
      </c>
      <c r="F9" t="s">
        <v>60</v>
      </c>
      <c r="G9" t="s">
        <v>61</v>
      </c>
      <c r="H9" t="s">
        <v>71</v>
      </c>
      <c r="I9" t="s">
        <v>97</v>
      </c>
    </row>
    <row r="10" spans="1:9" x14ac:dyDescent="0.25">
      <c r="A10" t="s">
        <v>112</v>
      </c>
      <c r="B10" t="s">
        <v>33</v>
      </c>
      <c r="C10" t="s">
        <v>34</v>
      </c>
      <c r="D10" t="s">
        <v>35</v>
      </c>
      <c r="E10">
        <v>-15000</v>
      </c>
      <c r="F10" t="s">
        <v>72</v>
      </c>
      <c r="G10" t="s">
        <v>73</v>
      </c>
      <c r="H10" t="s">
        <v>74</v>
      </c>
      <c r="I10" t="s">
        <v>98</v>
      </c>
    </row>
    <row r="11" spans="1:9" x14ac:dyDescent="0.25">
      <c r="A11" t="s">
        <v>113</v>
      </c>
      <c r="B11" t="s">
        <v>37</v>
      </c>
      <c r="C11" t="s">
        <v>16</v>
      </c>
      <c r="D11" t="s">
        <v>38</v>
      </c>
      <c r="E11">
        <v>220</v>
      </c>
      <c r="F11" t="s">
        <v>72</v>
      </c>
      <c r="G11" t="s">
        <v>61</v>
      </c>
      <c r="H11" t="s">
        <v>75</v>
      </c>
      <c r="I11" t="s">
        <v>99</v>
      </c>
    </row>
    <row r="12" spans="1:9" ht="0.75" customHeight="1" x14ac:dyDescent="0.25">
      <c r="A12" t="s">
        <v>59</v>
      </c>
      <c r="B12" t="s">
        <v>39</v>
      </c>
      <c r="C12" t="s">
        <v>16</v>
      </c>
      <c r="D12" t="s">
        <v>40</v>
      </c>
      <c r="E12">
        <v>6400</v>
      </c>
      <c r="F12" t="s">
        <v>60</v>
      </c>
      <c r="G12" t="s">
        <v>61</v>
      </c>
      <c r="H12" t="s">
        <v>76</v>
      </c>
      <c r="I12" t="s">
        <v>89</v>
      </c>
    </row>
    <row r="13" spans="1:9" x14ac:dyDescent="0.25">
      <c r="A13" t="s">
        <v>114</v>
      </c>
      <c r="B13" t="s">
        <v>42</v>
      </c>
      <c r="C13" t="s">
        <v>43</v>
      </c>
      <c r="D13" t="s">
        <v>44</v>
      </c>
      <c r="E13">
        <v>1300</v>
      </c>
      <c r="F13" t="s">
        <v>72</v>
      </c>
      <c r="G13" t="s">
        <v>61</v>
      </c>
      <c r="H13" t="s">
        <v>77</v>
      </c>
      <c r="I13" t="s">
        <v>100</v>
      </c>
    </row>
    <row r="14" spans="1:9" x14ac:dyDescent="0.25">
      <c r="A14" t="s">
        <v>115</v>
      </c>
      <c r="B14" t="s">
        <v>46</v>
      </c>
      <c r="C14" t="s">
        <v>23</v>
      </c>
      <c r="D14" t="s">
        <v>47</v>
      </c>
      <c r="E14">
        <v>3000</v>
      </c>
      <c r="F14" t="s">
        <v>60</v>
      </c>
      <c r="G14" t="s">
        <v>61</v>
      </c>
      <c r="H14" t="s">
        <v>78</v>
      </c>
      <c r="I14" t="s">
        <v>101</v>
      </c>
    </row>
    <row r="15" spans="1:9" x14ac:dyDescent="0.25">
      <c r="A15" t="s">
        <v>116</v>
      </c>
      <c r="B15" t="s">
        <v>49</v>
      </c>
      <c r="C15" t="s">
        <v>50</v>
      </c>
      <c r="D15" t="s">
        <v>51</v>
      </c>
      <c r="E15">
        <v>41</v>
      </c>
      <c r="F15" t="s">
        <v>60</v>
      </c>
      <c r="G15" t="s">
        <v>69</v>
      </c>
      <c r="H15" t="s">
        <v>80</v>
      </c>
      <c r="I15" t="s">
        <v>102</v>
      </c>
    </row>
    <row r="16" spans="1:9" x14ac:dyDescent="0.25">
      <c r="A16" s="1" t="s">
        <v>117</v>
      </c>
      <c r="B16" t="s">
        <v>52</v>
      </c>
      <c r="C16" t="s">
        <v>23</v>
      </c>
      <c r="D16" t="s">
        <v>53</v>
      </c>
      <c r="E16">
        <v>220</v>
      </c>
      <c r="F16" t="s">
        <v>60</v>
      </c>
      <c r="G16" t="s">
        <v>61</v>
      </c>
      <c r="H16" t="s">
        <v>82</v>
      </c>
      <c r="I16" t="s">
        <v>103</v>
      </c>
    </row>
    <row r="17" spans="1:9" x14ac:dyDescent="0.25">
      <c r="A17" s="1" t="s">
        <v>118</v>
      </c>
      <c r="B17" t="s">
        <v>54</v>
      </c>
      <c r="C17" t="s">
        <v>55</v>
      </c>
      <c r="D17" t="s">
        <v>56</v>
      </c>
      <c r="E17">
        <v>563</v>
      </c>
      <c r="F17" t="s">
        <v>60</v>
      </c>
      <c r="G17" t="s">
        <v>61</v>
      </c>
      <c r="H17" t="s">
        <v>71</v>
      </c>
      <c r="I17" s="1" t="s">
        <v>104</v>
      </c>
    </row>
    <row r="18" spans="1:9" x14ac:dyDescent="0.25">
      <c r="A18" s="1" t="s">
        <v>119</v>
      </c>
      <c r="B18" t="s">
        <v>57</v>
      </c>
      <c r="C18" t="s">
        <v>23</v>
      </c>
      <c r="D18" t="s">
        <v>58</v>
      </c>
      <c r="E18">
        <v>982</v>
      </c>
      <c r="F18" t="s">
        <v>60</v>
      </c>
      <c r="G18" t="s">
        <v>61</v>
      </c>
      <c r="H18" t="s">
        <v>84</v>
      </c>
      <c r="I18" s="1" t="s">
        <v>105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83F4F-70F2-45E8-A039-3C7029D336CA}">
  <dimension ref="A3:B7"/>
  <sheetViews>
    <sheetView workbookViewId="0">
      <selection activeCell="B12" sqref="B12"/>
    </sheetView>
  </sheetViews>
  <sheetFormatPr defaultRowHeight="15" x14ac:dyDescent="0.25"/>
  <cols>
    <col min="1" max="1" width="13.140625" bestFit="1" customWidth="1"/>
    <col min="2" max="2" width="27" bestFit="1" customWidth="1"/>
  </cols>
  <sheetData>
    <row r="3" spans="1:2" x14ac:dyDescent="0.25">
      <c r="A3" s="4" t="s">
        <v>122</v>
      </c>
      <c r="B3" t="s">
        <v>123</v>
      </c>
    </row>
    <row r="4" spans="1:2" x14ac:dyDescent="0.25">
      <c r="A4" s="5" t="s">
        <v>60</v>
      </c>
      <c r="B4" s="2">
        <v>1241</v>
      </c>
    </row>
    <row r="5" spans="1:2" x14ac:dyDescent="0.25">
      <c r="A5" s="6" t="s">
        <v>65</v>
      </c>
      <c r="B5" s="2">
        <v>478</v>
      </c>
    </row>
    <row r="6" spans="1:2" x14ac:dyDescent="0.25">
      <c r="A6" s="6" t="s">
        <v>71</v>
      </c>
      <c r="B6" s="2">
        <v>763</v>
      </c>
    </row>
    <row r="7" spans="1:2" x14ac:dyDescent="0.25">
      <c r="A7" s="5" t="s">
        <v>121</v>
      </c>
      <c r="B7" s="2">
        <v>1241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10604-9B2A-4D16-9BD7-807301C4932E}">
  <dimension ref="A1:I49"/>
  <sheetViews>
    <sheetView topLeftCell="A32" workbookViewId="0">
      <selection activeCell="A2" sqref="A2:I51"/>
    </sheetView>
  </sheetViews>
  <sheetFormatPr defaultRowHeight="15" x14ac:dyDescent="0.25"/>
  <cols>
    <col min="1" max="1" width="24.85546875" bestFit="1" customWidth="1"/>
    <col min="2" max="2" width="18.140625" bestFit="1" customWidth="1"/>
    <col min="3" max="3" width="15.140625" bestFit="1" customWidth="1"/>
    <col min="4" max="4" width="11.28515625" bestFit="1" customWidth="1"/>
    <col min="5" max="5" width="20.140625" bestFit="1" customWidth="1"/>
    <col min="6" max="6" width="6.85546875" bestFit="1" customWidth="1"/>
    <col min="7" max="7" width="10.28515625" bestFit="1" customWidth="1"/>
    <col min="8" max="8" width="13.28515625" bestFit="1" customWidth="1"/>
    <col min="9" max="9" width="13.5703125" bestFit="1" customWidth="1"/>
    <col min="10" max="17" width="6.28515625" bestFit="1" customWidth="1"/>
    <col min="18" max="19" width="11.28515625" bestFit="1" customWidth="1"/>
  </cols>
  <sheetData>
    <row r="1" spans="1:9" x14ac:dyDescent="0.25">
      <c r="A1" t="s">
        <v>124</v>
      </c>
    </row>
    <row r="2" spans="1:9" x14ac:dyDescent="0.25">
      <c r="A2" t="s">
        <v>138</v>
      </c>
      <c r="B2" s="3" t="s">
        <v>2</v>
      </c>
      <c r="C2" s="3" t="s">
        <v>3</v>
      </c>
      <c r="D2" s="3" t="s">
        <v>4</v>
      </c>
      <c r="E2" t="s">
        <v>139</v>
      </c>
      <c r="G2" t="s">
        <v>140</v>
      </c>
      <c r="H2" t="s">
        <v>120</v>
      </c>
      <c r="I2" t="s">
        <v>141</v>
      </c>
    </row>
    <row r="3" spans="1:9" x14ac:dyDescent="0.25">
      <c r="A3" t="s">
        <v>5</v>
      </c>
      <c r="B3" t="s">
        <v>6</v>
      </c>
      <c r="C3" t="s">
        <v>7</v>
      </c>
      <c r="D3" t="s">
        <v>8</v>
      </c>
      <c r="E3" s="7">
        <v>5100</v>
      </c>
      <c r="F3" t="s">
        <v>60</v>
      </c>
      <c r="G3" t="s">
        <v>61</v>
      </c>
      <c r="H3" t="s">
        <v>62</v>
      </c>
      <c r="I3" s="1">
        <v>40577</v>
      </c>
    </row>
    <row r="4" spans="1:9" x14ac:dyDescent="0.25">
      <c r="A4" s="1">
        <v>40603</v>
      </c>
      <c r="B4" t="s">
        <v>9</v>
      </c>
      <c r="C4" t="s">
        <v>10</v>
      </c>
      <c r="D4" t="s">
        <v>11</v>
      </c>
      <c r="E4">
        <v>179</v>
      </c>
      <c r="F4" t="s">
        <v>60</v>
      </c>
      <c r="G4" t="s">
        <v>61</v>
      </c>
      <c r="H4" t="s">
        <v>63</v>
      </c>
      <c r="I4" t="s">
        <v>64</v>
      </c>
    </row>
    <row r="5" spans="1:9" x14ac:dyDescent="0.25">
      <c r="A5" s="1">
        <v>40604</v>
      </c>
      <c r="B5" t="s">
        <v>12</v>
      </c>
      <c r="C5" t="s">
        <v>13</v>
      </c>
      <c r="D5" t="s">
        <v>14</v>
      </c>
      <c r="E5">
        <v>478</v>
      </c>
      <c r="F5" t="s">
        <v>60</v>
      </c>
      <c r="G5" t="s">
        <v>61</v>
      </c>
      <c r="H5" t="s">
        <v>65</v>
      </c>
      <c r="I5" s="1">
        <v>40547</v>
      </c>
    </row>
    <row r="6" spans="1:9" x14ac:dyDescent="0.25">
      <c r="A6" s="1">
        <v>40607</v>
      </c>
      <c r="B6" t="s">
        <v>15</v>
      </c>
      <c r="C6" t="s">
        <v>16</v>
      </c>
      <c r="D6" t="s">
        <v>17</v>
      </c>
      <c r="E6">
        <v>340</v>
      </c>
      <c r="F6" t="s">
        <v>60</v>
      </c>
      <c r="G6" t="s">
        <v>61</v>
      </c>
      <c r="H6" t="s">
        <v>66</v>
      </c>
      <c r="I6" s="1">
        <v>40666</v>
      </c>
    </row>
    <row r="7" spans="1:9" x14ac:dyDescent="0.25">
      <c r="A7" t="s">
        <v>18</v>
      </c>
      <c r="B7" t="s">
        <v>19</v>
      </c>
      <c r="C7" t="s">
        <v>20</v>
      </c>
      <c r="D7" t="s">
        <v>21</v>
      </c>
      <c r="E7">
        <v>50</v>
      </c>
      <c r="F7" t="s">
        <v>60</v>
      </c>
      <c r="G7" t="s">
        <v>61</v>
      </c>
      <c r="H7" t="s">
        <v>67</v>
      </c>
      <c r="I7" t="s">
        <v>18</v>
      </c>
    </row>
    <row r="8" spans="1:9" x14ac:dyDescent="0.25">
      <c r="A8" t="s">
        <v>18</v>
      </c>
      <c r="B8" t="s">
        <v>19</v>
      </c>
      <c r="C8" t="s">
        <v>20</v>
      </c>
      <c r="D8" t="s">
        <v>21</v>
      </c>
      <c r="E8">
        <v>35</v>
      </c>
      <c r="F8" t="s">
        <v>60</v>
      </c>
      <c r="G8" t="s">
        <v>73</v>
      </c>
      <c r="H8" t="s">
        <v>67</v>
      </c>
      <c r="I8" t="s">
        <v>18</v>
      </c>
    </row>
    <row r="9" spans="1:9" x14ac:dyDescent="0.25">
      <c r="A9" t="s">
        <v>18</v>
      </c>
      <c r="B9" t="s">
        <v>22</v>
      </c>
      <c r="C9" t="s">
        <v>23</v>
      </c>
      <c r="D9" t="s">
        <v>24</v>
      </c>
      <c r="E9" s="7">
        <v>1000</v>
      </c>
      <c r="F9" t="s">
        <v>60</v>
      </c>
      <c r="G9" t="s">
        <v>61</v>
      </c>
      <c r="H9" t="s">
        <v>68</v>
      </c>
      <c r="I9" s="1">
        <v>40578</v>
      </c>
    </row>
    <row r="10" spans="1:9" x14ac:dyDescent="0.25">
      <c r="A10" t="s">
        <v>18</v>
      </c>
      <c r="B10" t="s">
        <v>25</v>
      </c>
      <c r="C10" t="s">
        <v>26</v>
      </c>
      <c r="D10" t="s">
        <v>27</v>
      </c>
      <c r="E10">
        <v>90</v>
      </c>
      <c r="F10" t="s">
        <v>60</v>
      </c>
      <c r="G10" t="s">
        <v>69</v>
      </c>
      <c r="H10" t="s">
        <v>70</v>
      </c>
      <c r="I10" t="s">
        <v>18</v>
      </c>
    </row>
    <row r="11" spans="1:9" x14ac:dyDescent="0.25">
      <c r="A11" t="s">
        <v>28</v>
      </c>
      <c r="B11" t="s">
        <v>29</v>
      </c>
      <c r="C11" t="s">
        <v>30</v>
      </c>
      <c r="D11" t="s">
        <v>31</v>
      </c>
      <c r="E11">
        <v>200</v>
      </c>
      <c r="F11" t="s">
        <v>60</v>
      </c>
      <c r="G11" t="s">
        <v>61</v>
      </c>
      <c r="H11" t="s">
        <v>71</v>
      </c>
      <c r="I11" t="s">
        <v>28</v>
      </c>
    </row>
    <row r="12" spans="1:9" x14ac:dyDescent="0.25">
      <c r="A12" t="s">
        <v>32</v>
      </c>
      <c r="B12" t="s">
        <v>33</v>
      </c>
      <c r="C12" t="s">
        <v>34</v>
      </c>
      <c r="D12" t="s">
        <v>35</v>
      </c>
      <c r="E12" s="7">
        <v>-15000</v>
      </c>
      <c r="F12" t="s">
        <v>72</v>
      </c>
      <c r="G12" t="s">
        <v>73</v>
      </c>
      <c r="H12" t="s">
        <v>74</v>
      </c>
      <c r="I12" t="s">
        <v>32</v>
      </c>
    </row>
    <row r="13" spans="1:9" x14ac:dyDescent="0.25">
      <c r="A13" t="s">
        <v>32</v>
      </c>
      <c r="B13" t="s">
        <v>33</v>
      </c>
      <c r="C13" t="s">
        <v>34</v>
      </c>
      <c r="D13" t="s">
        <v>35</v>
      </c>
      <c r="E13" s="7">
        <v>15000</v>
      </c>
      <c r="F13" t="s">
        <v>72</v>
      </c>
      <c r="G13" t="s">
        <v>61</v>
      </c>
      <c r="H13" t="s">
        <v>74</v>
      </c>
      <c r="I13" t="s">
        <v>32</v>
      </c>
    </row>
    <row r="14" spans="1:9" x14ac:dyDescent="0.25">
      <c r="A14" t="s">
        <v>36</v>
      </c>
      <c r="B14" t="s">
        <v>33</v>
      </c>
      <c r="C14" t="s">
        <v>125</v>
      </c>
      <c r="D14" t="s">
        <v>126</v>
      </c>
      <c r="E14" s="7">
        <v>13000</v>
      </c>
      <c r="F14" t="s">
        <v>72</v>
      </c>
      <c r="G14" t="s">
        <v>73</v>
      </c>
      <c r="H14" t="s">
        <v>127</v>
      </c>
      <c r="I14" t="s">
        <v>36</v>
      </c>
    </row>
    <row r="15" spans="1:9" x14ac:dyDescent="0.25">
      <c r="A15" t="s">
        <v>36</v>
      </c>
      <c r="B15" t="s">
        <v>37</v>
      </c>
      <c r="C15" t="s">
        <v>16</v>
      </c>
      <c r="D15" t="s">
        <v>38</v>
      </c>
      <c r="E15">
        <v>220</v>
      </c>
      <c r="F15" t="s">
        <v>72</v>
      </c>
      <c r="G15" t="s">
        <v>61</v>
      </c>
      <c r="H15" t="s">
        <v>75</v>
      </c>
      <c r="I15" t="s">
        <v>36</v>
      </c>
    </row>
    <row r="16" spans="1:9" x14ac:dyDescent="0.25">
      <c r="A16" t="s">
        <v>36</v>
      </c>
      <c r="B16" t="s">
        <v>37</v>
      </c>
      <c r="C16" t="s">
        <v>16</v>
      </c>
      <c r="D16" t="s">
        <v>128</v>
      </c>
      <c r="E16">
        <v>100</v>
      </c>
      <c r="F16" t="s">
        <v>72</v>
      </c>
      <c r="G16" t="s">
        <v>61</v>
      </c>
      <c r="H16" t="s">
        <v>129</v>
      </c>
      <c r="I16" t="s">
        <v>36</v>
      </c>
    </row>
    <row r="17" spans="1:9" x14ac:dyDescent="0.25">
      <c r="A17" t="s">
        <v>36</v>
      </c>
      <c r="B17" t="s">
        <v>39</v>
      </c>
      <c r="C17" t="s">
        <v>16</v>
      </c>
      <c r="D17" t="s">
        <v>40</v>
      </c>
      <c r="E17" s="7">
        <v>6400</v>
      </c>
      <c r="F17" t="s">
        <v>60</v>
      </c>
      <c r="G17" t="s">
        <v>61</v>
      </c>
      <c r="H17" t="s">
        <v>76</v>
      </c>
      <c r="I17" t="s">
        <v>36</v>
      </c>
    </row>
    <row r="18" spans="1:9" x14ac:dyDescent="0.25">
      <c r="A18" t="s">
        <v>64</v>
      </c>
      <c r="B18" t="s">
        <v>33</v>
      </c>
      <c r="C18" t="s">
        <v>20</v>
      </c>
      <c r="D18" t="s">
        <v>130</v>
      </c>
      <c r="E18">
        <v>100</v>
      </c>
      <c r="F18" t="s">
        <v>72</v>
      </c>
      <c r="G18" t="s">
        <v>61</v>
      </c>
      <c r="H18" t="s">
        <v>74</v>
      </c>
      <c r="I18" t="s">
        <v>64</v>
      </c>
    </row>
    <row r="19" spans="1:9" x14ac:dyDescent="0.25">
      <c r="A19" t="s">
        <v>64</v>
      </c>
      <c r="B19" t="s">
        <v>33</v>
      </c>
      <c r="C19" t="s">
        <v>20</v>
      </c>
      <c r="D19" t="s">
        <v>130</v>
      </c>
      <c r="E19">
        <v>-100</v>
      </c>
      <c r="F19" t="s">
        <v>72</v>
      </c>
      <c r="G19" t="s">
        <v>69</v>
      </c>
      <c r="H19" t="s">
        <v>74</v>
      </c>
      <c r="I19" t="s">
        <v>64</v>
      </c>
    </row>
    <row r="20" spans="1:9" x14ac:dyDescent="0.25">
      <c r="A20" s="1">
        <v>40634</v>
      </c>
      <c r="B20" t="s">
        <v>9</v>
      </c>
      <c r="C20" t="s">
        <v>131</v>
      </c>
      <c r="D20" t="s">
        <v>11</v>
      </c>
      <c r="E20">
        <v>179</v>
      </c>
      <c r="F20" t="s">
        <v>60</v>
      </c>
      <c r="G20" t="s">
        <v>61</v>
      </c>
      <c r="H20" t="s">
        <v>63</v>
      </c>
      <c r="I20" s="1">
        <v>40548</v>
      </c>
    </row>
    <row r="21" spans="1:9" x14ac:dyDescent="0.25">
      <c r="A21" s="1">
        <v>40638</v>
      </c>
      <c r="B21" t="s">
        <v>15</v>
      </c>
      <c r="C21" t="s">
        <v>16</v>
      </c>
      <c r="D21" t="s">
        <v>17</v>
      </c>
      <c r="E21">
        <v>340</v>
      </c>
      <c r="F21" t="s">
        <v>60</v>
      </c>
      <c r="G21" t="s">
        <v>61</v>
      </c>
      <c r="H21" t="s">
        <v>66</v>
      </c>
      <c r="I21" s="1">
        <v>40667</v>
      </c>
    </row>
    <row r="22" spans="1:9" x14ac:dyDescent="0.25">
      <c r="A22" s="1">
        <v>40645</v>
      </c>
      <c r="B22" t="s">
        <v>25</v>
      </c>
      <c r="C22" t="s">
        <v>26</v>
      </c>
      <c r="D22" t="s">
        <v>27</v>
      </c>
      <c r="E22">
        <v>87</v>
      </c>
      <c r="F22" t="s">
        <v>60</v>
      </c>
      <c r="G22" t="s">
        <v>69</v>
      </c>
      <c r="H22" t="s">
        <v>70</v>
      </c>
      <c r="I22" s="1">
        <v>40881</v>
      </c>
    </row>
    <row r="23" spans="1:9" x14ac:dyDescent="0.25">
      <c r="A23" t="s">
        <v>132</v>
      </c>
      <c r="B23" t="s">
        <v>19</v>
      </c>
      <c r="C23" t="s">
        <v>20</v>
      </c>
      <c r="D23" t="s">
        <v>21</v>
      </c>
      <c r="E23">
        <v>80</v>
      </c>
      <c r="F23" t="s">
        <v>60</v>
      </c>
      <c r="G23" t="s">
        <v>61</v>
      </c>
      <c r="H23" t="s">
        <v>67</v>
      </c>
      <c r="I23" t="s">
        <v>132</v>
      </c>
    </row>
    <row r="24" spans="1:9" x14ac:dyDescent="0.25">
      <c r="A24" t="s">
        <v>132</v>
      </c>
      <c r="B24" t="s">
        <v>19</v>
      </c>
      <c r="C24" t="s">
        <v>20</v>
      </c>
      <c r="D24" t="s">
        <v>21</v>
      </c>
      <c r="E24">
        <v>35</v>
      </c>
      <c r="F24" t="s">
        <v>60</v>
      </c>
      <c r="G24" t="s">
        <v>73</v>
      </c>
      <c r="H24" t="s">
        <v>67</v>
      </c>
      <c r="I24" t="s">
        <v>132</v>
      </c>
    </row>
    <row r="25" spans="1:9" x14ac:dyDescent="0.25">
      <c r="A25" t="s">
        <v>132</v>
      </c>
      <c r="B25" t="s">
        <v>22</v>
      </c>
      <c r="C25" t="s">
        <v>23</v>
      </c>
      <c r="D25" t="s">
        <v>24</v>
      </c>
      <c r="E25" s="7">
        <v>1000</v>
      </c>
      <c r="F25" t="s">
        <v>60</v>
      </c>
      <c r="G25" t="s">
        <v>61</v>
      </c>
      <c r="H25" t="s">
        <v>68</v>
      </c>
      <c r="I25" s="1">
        <v>40607</v>
      </c>
    </row>
    <row r="26" spans="1:9" x14ac:dyDescent="0.25">
      <c r="A26" t="s">
        <v>133</v>
      </c>
      <c r="B26" t="s">
        <v>33</v>
      </c>
      <c r="C26" t="s">
        <v>34</v>
      </c>
      <c r="D26" t="s">
        <v>35</v>
      </c>
      <c r="E26" s="7">
        <v>-20000</v>
      </c>
      <c r="F26" t="s">
        <v>72</v>
      </c>
      <c r="G26" t="s">
        <v>73</v>
      </c>
      <c r="H26" t="s">
        <v>74</v>
      </c>
      <c r="I26" t="s">
        <v>133</v>
      </c>
    </row>
    <row r="27" spans="1:9" x14ac:dyDescent="0.25">
      <c r="A27" t="s">
        <v>133</v>
      </c>
      <c r="B27" t="s">
        <v>33</v>
      </c>
      <c r="C27" t="s">
        <v>34</v>
      </c>
      <c r="D27" t="s">
        <v>35</v>
      </c>
      <c r="E27" s="7">
        <v>20000</v>
      </c>
      <c r="F27" t="s">
        <v>72</v>
      </c>
      <c r="G27" t="s">
        <v>61</v>
      </c>
      <c r="H27" t="s">
        <v>74</v>
      </c>
      <c r="I27" t="s">
        <v>133</v>
      </c>
    </row>
    <row r="28" spans="1:9" x14ac:dyDescent="0.25">
      <c r="A28" t="s">
        <v>41</v>
      </c>
      <c r="B28" t="s">
        <v>42</v>
      </c>
      <c r="C28" t="s">
        <v>43</v>
      </c>
      <c r="D28" t="s">
        <v>44</v>
      </c>
      <c r="E28" s="7">
        <v>1300</v>
      </c>
      <c r="F28" t="s">
        <v>72</v>
      </c>
      <c r="G28" t="s">
        <v>61</v>
      </c>
      <c r="H28" t="s">
        <v>77</v>
      </c>
      <c r="I28" t="s">
        <v>41</v>
      </c>
    </row>
    <row r="29" spans="1:9" x14ac:dyDescent="0.25">
      <c r="A29" t="s">
        <v>45</v>
      </c>
      <c r="B29" t="s">
        <v>33</v>
      </c>
      <c r="C29" t="s">
        <v>125</v>
      </c>
      <c r="D29" t="s">
        <v>126</v>
      </c>
      <c r="E29" s="7">
        <v>20000</v>
      </c>
      <c r="F29" t="s">
        <v>72</v>
      </c>
      <c r="G29" t="s">
        <v>73</v>
      </c>
      <c r="H29" t="s">
        <v>127</v>
      </c>
      <c r="I29" t="s">
        <v>45</v>
      </c>
    </row>
    <row r="30" spans="1:9" x14ac:dyDescent="0.25">
      <c r="A30" t="s">
        <v>45</v>
      </c>
      <c r="B30" t="s">
        <v>46</v>
      </c>
      <c r="C30" t="s">
        <v>23</v>
      </c>
      <c r="D30" t="s">
        <v>47</v>
      </c>
      <c r="E30" s="7">
        <v>3000</v>
      </c>
      <c r="F30" t="s">
        <v>60</v>
      </c>
      <c r="G30" t="s">
        <v>61</v>
      </c>
      <c r="H30" t="s">
        <v>78</v>
      </c>
      <c r="I30" t="s">
        <v>79</v>
      </c>
    </row>
    <row r="31" spans="1:9" x14ac:dyDescent="0.25">
      <c r="A31" t="s">
        <v>45</v>
      </c>
      <c r="B31" t="s">
        <v>37</v>
      </c>
      <c r="C31" t="s">
        <v>16</v>
      </c>
      <c r="D31" t="s">
        <v>38</v>
      </c>
      <c r="E31">
        <v>220</v>
      </c>
      <c r="F31" t="s">
        <v>72</v>
      </c>
      <c r="G31" t="s">
        <v>61</v>
      </c>
      <c r="H31" t="s">
        <v>75</v>
      </c>
      <c r="I31" t="s">
        <v>45</v>
      </c>
    </row>
    <row r="32" spans="1:9" x14ac:dyDescent="0.25">
      <c r="A32" t="s">
        <v>45</v>
      </c>
      <c r="B32" t="s">
        <v>37</v>
      </c>
      <c r="C32" t="s">
        <v>16</v>
      </c>
      <c r="D32" t="s">
        <v>128</v>
      </c>
      <c r="E32">
        <v>100</v>
      </c>
      <c r="F32" t="s">
        <v>72</v>
      </c>
      <c r="G32" t="s">
        <v>61</v>
      </c>
      <c r="H32" t="s">
        <v>129</v>
      </c>
      <c r="I32" t="s">
        <v>45</v>
      </c>
    </row>
    <row r="33" spans="1:9" x14ac:dyDescent="0.25">
      <c r="A33" t="s">
        <v>45</v>
      </c>
      <c r="B33" t="s">
        <v>39</v>
      </c>
      <c r="C33" t="s">
        <v>16</v>
      </c>
      <c r="D33" t="s">
        <v>40</v>
      </c>
      <c r="E33" s="7">
        <v>6400</v>
      </c>
      <c r="F33" t="s">
        <v>60</v>
      </c>
      <c r="G33" t="s">
        <v>61</v>
      </c>
      <c r="H33" t="s">
        <v>76</v>
      </c>
      <c r="I33" t="s">
        <v>45</v>
      </c>
    </row>
    <row r="34" spans="1:9" x14ac:dyDescent="0.25">
      <c r="A34" t="s">
        <v>48</v>
      </c>
      <c r="B34" t="s">
        <v>49</v>
      </c>
      <c r="C34" t="s">
        <v>50</v>
      </c>
      <c r="D34" t="s">
        <v>51</v>
      </c>
      <c r="E34">
        <v>41</v>
      </c>
      <c r="F34" t="s">
        <v>60</v>
      </c>
      <c r="G34" t="s">
        <v>69</v>
      </c>
      <c r="H34" t="s">
        <v>80</v>
      </c>
      <c r="I34" t="s">
        <v>81</v>
      </c>
    </row>
    <row r="35" spans="1:9" x14ac:dyDescent="0.25">
      <c r="A35" t="s">
        <v>134</v>
      </c>
      <c r="B35" t="s">
        <v>33</v>
      </c>
      <c r="C35" t="s">
        <v>20</v>
      </c>
      <c r="D35" t="s">
        <v>130</v>
      </c>
      <c r="E35">
        <v>100</v>
      </c>
      <c r="F35" t="s">
        <v>72</v>
      </c>
      <c r="G35" t="s">
        <v>61</v>
      </c>
      <c r="H35" t="s">
        <v>74</v>
      </c>
      <c r="I35" t="s">
        <v>134</v>
      </c>
    </row>
    <row r="36" spans="1:9" x14ac:dyDescent="0.25">
      <c r="A36" t="s">
        <v>134</v>
      </c>
      <c r="B36" t="s">
        <v>33</v>
      </c>
      <c r="C36" t="s">
        <v>20</v>
      </c>
      <c r="D36" t="s">
        <v>130</v>
      </c>
      <c r="E36">
        <v>-100</v>
      </c>
      <c r="F36" t="s">
        <v>72</v>
      </c>
      <c r="G36" t="s">
        <v>69</v>
      </c>
      <c r="H36" t="s">
        <v>74</v>
      </c>
      <c r="I36" t="s">
        <v>134</v>
      </c>
    </row>
    <row r="37" spans="1:9" x14ac:dyDescent="0.25">
      <c r="A37" s="1">
        <v>40664</v>
      </c>
      <c r="B37" t="s">
        <v>9</v>
      </c>
      <c r="C37" t="s">
        <v>135</v>
      </c>
      <c r="D37" t="s">
        <v>11</v>
      </c>
      <c r="E37">
        <v>179</v>
      </c>
      <c r="F37" t="s">
        <v>60</v>
      </c>
      <c r="G37" t="s">
        <v>61</v>
      </c>
      <c r="H37" t="s">
        <v>63</v>
      </c>
      <c r="I37" t="s">
        <v>83</v>
      </c>
    </row>
    <row r="38" spans="1:9" x14ac:dyDescent="0.25">
      <c r="A38" s="1">
        <v>40664</v>
      </c>
      <c r="B38" t="s">
        <v>52</v>
      </c>
      <c r="C38" t="s">
        <v>23</v>
      </c>
      <c r="D38" t="s">
        <v>53</v>
      </c>
      <c r="E38">
        <v>220</v>
      </c>
      <c r="F38" t="s">
        <v>60</v>
      </c>
      <c r="G38" t="s">
        <v>61</v>
      </c>
      <c r="H38" t="s">
        <v>82</v>
      </c>
      <c r="I38" t="s">
        <v>83</v>
      </c>
    </row>
    <row r="39" spans="1:9" x14ac:dyDescent="0.25">
      <c r="A39" s="1">
        <v>40668</v>
      </c>
      <c r="B39" t="s">
        <v>15</v>
      </c>
      <c r="C39" t="s">
        <v>16</v>
      </c>
      <c r="D39" t="s">
        <v>17</v>
      </c>
      <c r="E39">
        <v>340</v>
      </c>
      <c r="F39" t="s">
        <v>60</v>
      </c>
      <c r="G39" t="s">
        <v>61</v>
      </c>
      <c r="H39" t="s">
        <v>66</v>
      </c>
      <c r="I39" s="1">
        <v>40668</v>
      </c>
    </row>
    <row r="40" spans="1:9" x14ac:dyDescent="0.25">
      <c r="A40" s="1">
        <v>40670</v>
      </c>
      <c r="B40" t="s">
        <v>54</v>
      </c>
      <c r="C40" t="s">
        <v>55</v>
      </c>
      <c r="D40" t="s">
        <v>56</v>
      </c>
      <c r="E40">
        <v>563</v>
      </c>
      <c r="F40" t="s">
        <v>60</v>
      </c>
      <c r="G40" t="s">
        <v>61</v>
      </c>
      <c r="H40" t="s">
        <v>71</v>
      </c>
      <c r="I40" s="1">
        <v>40729</v>
      </c>
    </row>
    <row r="41" spans="1:9" x14ac:dyDescent="0.25">
      <c r="A41" s="1">
        <v>40670</v>
      </c>
      <c r="B41" t="s">
        <v>57</v>
      </c>
      <c r="C41" t="s">
        <v>23</v>
      </c>
      <c r="D41" t="s">
        <v>58</v>
      </c>
      <c r="E41">
        <v>982</v>
      </c>
      <c r="F41" t="s">
        <v>60</v>
      </c>
      <c r="G41" t="s">
        <v>61</v>
      </c>
      <c r="H41" t="s">
        <v>84</v>
      </c>
      <c r="I41" s="1">
        <v>40700</v>
      </c>
    </row>
    <row r="42" spans="1:9" x14ac:dyDescent="0.25">
      <c r="A42" t="s">
        <v>136</v>
      </c>
      <c r="B42" t="s">
        <v>19</v>
      </c>
      <c r="C42" t="s">
        <v>20</v>
      </c>
      <c r="D42" t="s">
        <v>21</v>
      </c>
      <c r="E42">
        <v>80</v>
      </c>
      <c r="F42" t="s">
        <v>60</v>
      </c>
      <c r="G42" t="s">
        <v>61</v>
      </c>
      <c r="H42" t="s">
        <v>67</v>
      </c>
      <c r="I42" t="s">
        <v>136</v>
      </c>
    </row>
    <row r="43" spans="1:9" x14ac:dyDescent="0.25">
      <c r="A43" t="s">
        <v>136</v>
      </c>
      <c r="B43" t="s">
        <v>19</v>
      </c>
      <c r="C43" t="s">
        <v>20</v>
      </c>
      <c r="D43" t="s">
        <v>21</v>
      </c>
      <c r="E43">
        <v>35</v>
      </c>
      <c r="F43" t="s">
        <v>60</v>
      </c>
      <c r="G43" t="s">
        <v>73</v>
      </c>
      <c r="H43" t="s">
        <v>67</v>
      </c>
      <c r="I43" t="s">
        <v>136</v>
      </c>
    </row>
    <row r="44" spans="1:9" x14ac:dyDescent="0.25">
      <c r="A44" t="s">
        <v>136</v>
      </c>
      <c r="B44" t="s">
        <v>22</v>
      </c>
      <c r="C44" t="s">
        <v>23</v>
      </c>
      <c r="D44" t="s">
        <v>24</v>
      </c>
      <c r="E44" s="7">
        <v>1000</v>
      </c>
      <c r="F44" t="s">
        <v>60</v>
      </c>
      <c r="G44" t="s">
        <v>61</v>
      </c>
      <c r="H44" t="s">
        <v>68</v>
      </c>
      <c r="I44" s="1">
        <v>40580</v>
      </c>
    </row>
    <row r="45" spans="1:9" x14ac:dyDescent="0.25">
      <c r="A45" t="s">
        <v>137</v>
      </c>
      <c r="B45" t="s">
        <v>33</v>
      </c>
      <c r="C45" t="s">
        <v>34</v>
      </c>
      <c r="D45" t="s">
        <v>35</v>
      </c>
      <c r="E45" s="7">
        <v>-20000</v>
      </c>
      <c r="F45" t="s">
        <v>72</v>
      </c>
      <c r="G45" t="s">
        <v>73</v>
      </c>
      <c r="H45" t="s">
        <v>74</v>
      </c>
      <c r="I45" t="s">
        <v>137</v>
      </c>
    </row>
    <row r="46" spans="1:9" x14ac:dyDescent="0.25">
      <c r="A46" t="s">
        <v>137</v>
      </c>
      <c r="B46" t="s">
        <v>33</v>
      </c>
      <c r="C46" t="s">
        <v>34</v>
      </c>
      <c r="D46" t="s">
        <v>35</v>
      </c>
      <c r="E46" s="7">
        <v>20000</v>
      </c>
      <c r="F46" t="s">
        <v>72</v>
      </c>
      <c r="G46" t="s">
        <v>61</v>
      </c>
      <c r="H46" t="s">
        <v>74</v>
      </c>
      <c r="I46" t="s">
        <v>137</v>
      </c>
    </row>
    <row r="47" spans="1:9" x14ac:dyDescent="0.25">
      <c r="A47" t="s">
        <v>79</v>
      </c>
      <c r="B47" t="s">
        <v>33</v>
      </c>
      <c r="C47" t="s">
        <v>125</v>
      </c>
      <c r="D47" t="s">
        <v>126</v>
      </c>
      <c r="E47" s="7">
        <v>20000</v>
      </c>
      <c r="F47" t="s">
        <v>72</v>
      </c>
      <c r="G47" t="s">
        <v>73</v>
      </c>
      <c r="H47" t="s">
        <v>127</v>
      </c>
      <c r="I47" t="s">
        <v>79</v>
      </c>
    </row>
    <row r="48" spans="1:9" x14ac:dyDescent="0.25">
      <c r="A48" t="s">
        <v>79</v>
      </c>
      <c r="B48" t="s">
        <v>37</v>
      </c>
      <c r="C48" t="s">
        <v>16</v>
      </c>
      <c r="D48" t="s">
        <v>38</v>
      </c>
      <c r="E48">
        <v>220</v>
      </c>
      <c r="F48" t="s">
        <v>72</v>
      </c>
      <c r="G48" t="s">
        <v>61</v>
      </c>
      <c r="H48" t="s">
        <v>75</v>
      </c>
      <c r="I48" t="s">
        <v>79</v>
      </c>
    </row>
    <row r="49" spans="1:9" x14ac:dyDescent="0.25">
      <c r="A49" t="s">
        <v>79</v>
      </c>
      <c r="B49" t="s">
        <v>37</v>
      </c>
      <c r="C49" t="s">
        <v>16</v>
      </c>
      <c r="D49" t="s">
        <v>128</v>
      </c>
      <c r="E49">
        <v>100</v>
      </c>
      <c r="F49" t="s">
        <v>72</v>
      </c>
      <c r="G49" t="s">
        <v>61</v>
      </c>
      <c r="H49" t="s">
        <v>129</v>
      </c>
      <c r="I49" t="s">
        <v>79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FE17A-AD35-4C4A-A84D-5353DBE19A14}">
  <dimension ref="A1:I48"/>
  <sheetViews>
    <sheetView tabSelected="1" workbookViewId="0">
      <selection activeCell="G43" sqref="G43"/>
    </sheetView>
  </sheetViews>
  <sheetFormatPr defaultRowHeight="15" x14ac:dyDescent="0.25"/>
  <cols>
    <col min="1" max="1" width="17.7109375" style="8" bestFit="1" customWidth="1"/>
    <col min="2" max="2" width="18.140625" bestFit="1" customWidth="1"/>
    <col min="3" max="3" width="15.140625" bestFit="1" customWidth="1"/>
    <col min="4" max="4" width="23.5703125" bestFit="1" customWidth="1"/>
    <col min="5" max="5" width="22.42578125" bestFit="1" customWidth="1"/>
    <col min="6" max="6" width="11.28515625" bestFit="1" customWidth="1"/>
    <col min="7" max="7" width="12.5703125" bestFit="1" customWidth="1"/>
    <col min="8" max="8" width="15.5703125" bestFit="1" customWidth="1"/>
    <col min="9" max="9" width="16.7109375" style="9" bestFit="1" customWidth="1"/>
  </cols>
  <sheetData>
    <row r="1" spans="1:9" x14ac:dyDescent="0.25">
      <c r="A1" s="8" t="s">
        <v>138</v>
      </c>
      <c r="B1" s="3" t="s">
        <v>2</v>
      </c>
      <c r="C1" s="3" t="s">
        <v>3</v>
      </c>
      <c r="D1" s="3" t="s">
        <v>4</v>
      </c>
      <c r="E1" t="s">
        <v>139</v>
      </c>
      <c r="F1" t="s">
        <v>0</v>
      </c>
      <c r="G1" t="s">
        <v>140</v>
      </c>
      <c r="H1" t="s">
        <v>120</v>
      </c>
      <c r="I1" s="9" t="s">
        <v>141</v>
      </c>
    </row>
    <row r="2" spans="1:9" x14ac:dyDescent="0.25">
      <c r="A2" s="8" t="s">
        <v>142</v>
      </c>
      <c r="B2" t="s">
        <v>6</v>
      </c>
      <c r="C2" t="s">
        <v>7</v>
      </c>
      <c r="D2" t="s">
        <v>8</v>
      </c>
      <c r="E2" s="7">
        <v>5100</v>
      </c>
      <c r="F2" t="s">
        <v>60</v>
      </c>
      <c r="G2" t="s">
        <v>61</v>
      </c>
      <c r="H2" t="s">
        <v>62</v>
      </c>
      <c r="I2" s="9" t="s">
        <v>176</v>
      </c>
    </row>
    <row r="3" spans="1:9" x14ac:dyDescent="0.25">
      <c r="A3" s="8" t="s">
        <v>196</v>
      </c>
      <c r="B3" t="s">
        <v>9</v>
      </c>
      <c r="C3" t="s">
        <v>10</v>
      </c>
      <c r="D3" t="s">
        <v>11</v>
      </c>
      <c r="E3">
        <v>179</v>
      </c>
      <c r="F3" t="s">
        <v>60</v>
      </c>
      <c r="G3" t="s">
        <v>61</v>
      </c>
      <c r="H3" t="s">
        <v>63</v>
      </c>
      <c r="I3" s="9" t="s">
        <v>167</v>
      </c>
    </row>
    <row r="4" spans="1:9" x14ac:dyDescent="0.25">
      <c r="A4" s="8" t="s">
        <v>195</v>
      </c>
      <c r="B4" t="s">
        <v>12</v>
      </c>
      <c r="C4" t="s">
        <v>13</v>
      </c>
      <c r="D4" t="s">
        <v>14</v>
      </c>
      <c r="E4">
        <v>478</v>
      </c>
      <c r="F4" t="s">
        <v>60</v>
      </c>
      <c r="G4" t="s">
        <v>61</v>
      </c>
      <c r="H4" t="s">
        <v>65</v>
      </c>
      <c r="I4" s="9" t="s">
        <v>177</v>
      </c>
    </row>
    <row r="5" spans="1:9" x14ac:dyDescent="0.25">
      <c r="A5" s="8" t="s">
        <v>194</v>
      </c>
      <c r="B5" t="s">
        <v>15</v>
      </c>
      <c r="C5" t="s">
        <v>16</v>
      </c>
      <c r="D5" t="s">
        <v>17</v>
      </c>
      <c r="E5">
        <v>340</v>
      </c>
      <c r="F5" t="s">
        <v>60</v>
      </c>
      <c r="G5" t="s">
        <v>61</v>
      </c>
      <c r="H5" t="s">
        <v>66</v>
      </c>
      <c r="I5" s="9" t="s">
        <v>178</v>
      </c>
    </row>
    <row r="6" spans="1:9" x14ac:dyDescent="0.25">
      <c r="A6" s="8" t="s">
        <v>143</v>
      </c>
      <c r="B6" t="s">
        <v>19</v>
      </c>
      <c r="C6" t="s">
        <v>20</v>
      </c>
      <c r="D6" t="s">
        <v>21</v>
      </c>
      <c r="E6">
        <v>50</v>
      </c>
      <c r="F6" t="s">
        <v>60</v>
      </c>
      <c r="G6" t="s">
        <v>61</v>
      </c>
      <c r="H6" t="s">
        <v>67</v>
      </c>
      <c r="I6" s="9" t="s">
        <v>168</v>
      </c>
    </row>
    <row r="7" spans="1:9" x14ac:dyDescent="0.25">
      <c r="A7" s="8" t="s">
        <v>110</v>
      </c>
      <c r="B7" t="s">
        <v>19</v>
      </c>
      <c r="C7" t="s">
        <v>20</v>
      </c>
      <c r="D7" t="s">
        <v>21</v>
      </c>
      <c r="E7">
        <v>35</v>
      </c>
      <c r="F7" t="s">
        <v>60</v>
      </c>
      <c r="G7" t="s">
        <v>73</v>
      </c>
      <c r="H7" t="s">
        <v>67</v>
      </c>
      <c r="I7" s="9" t="s">
        <v>168</v>
      </c>
    </row>
    <row r="8" spans="1:9" x14ac:dyDescent="0.25">
      <c r="A8" s="8" t="s">
        <v>143</v>
      </c>
      <c r="B8" t="s">
        <v>22</v>
      </c>
      <c r="C8" t="s">
        <v>23</v>
      </c>
      <c r="D8" t="s">
        <v>24</v>
      </c>
      <c r="E8" s="7">
        <v>1000</v>
      </c>
      <c r="F8" t="s">
        <v>60</v>
      </c>
      <c r="G8" t="s">
        <v>61</v>
      </c>
      <c r="H8" t="s">
        <v>68</v>
      </c>
      <c r="I8" s="9" t="s">
        <v>179</v>
      </c>
    </row>
    <row r="9" spans="1:9" x14ac:dyDescent="0.25">
      <c r="A9" s="8" t="s">
        <v>143</v>
      </c>
      <c r="B9" t="s">
        <v>25</v>
      </c>
      <c r="C9" t="s">
        <v>26</v>
      </c>
      <c r="D9" t="s">
        <v>27</v>
      </c>
      <c r="E9">
        <v>90</v>
      </c>
      <c r="F9" t="s">
        <v>60</v>
      </c>
      <c r="G9" t="s">
        <v>69</v>
      </c>
      <c r="H9" t="s">
        <v>70</v>
      </c>
      <c r="I9" s="9" t="s">
        <v>95</v>
      </c>
    </row>
    <row r="10" spans="1:9" x14ac:dyDescent="0.25">
      <c r="A10" s="8" t="s">
        <v>144</v>
      </c>
      <c r="B10" t="s">
        <v>29</v>
      </c>
      <c r="C10" t="s">
        <v>30</v>
      </c>
      <c r="D10" t="s">
        <v>31</v>
      </c>
      <c r="E10">
        <v>200</v>
      </c>
      <c r="F10" t="s">
        <v>60</v>
      </c>
      <c r="G10" t="s">
        <v>61</v>
      </c>
      <c r="H10" t="s">
        <v>71</v>
      </c>
      <c r="I10" s="9" t="s">
        <v>169</v>
      </c>
    </row>
    <row r="11" spans="1:9" x14ac:dyDescent="0.25">
      <c r="A11" s="8" t="s">
        <v>145</v>
      </c>
      <c r="B11" t="s">
        <v>33</v>
      </c>
      <c r="C11" t="s">
        <v>34</v>
      </c>
      <c r="D11" t="s">
        <v>35</v>
      </c>
      <c r="E11" s="7">
        <v>-15000</v>
      </c>
      <c r="F11" t="s">
        <v>72</v>
      </c>
      <c r="G11" t="s">
        <v>73</v>
      </c>
      <c r="H11" t="s">
        <v>74</v>
      </c>
      <c r="I11" s="9" t="s">
        <v>170</v>
      </c>
    </row>
    <row r="12" spans="1:9" x14ac:dyDescent="0.25">
      <c r="A12" s="8" t="s">
        <v>145</v>
      </c>
      <c r="B12" t="s">
        <v>33</v>
      </c>
      <c r="C12" t="s">
        <v>34</v>
      </c>
      <c r="D12" t="s">
        <v>35</v>
      </c>
      <c r="E12" s="7">
        <v>15000</v>
      </c>
      <c r="F12" t="s">
        <v>72</v>
      </c>
      <c r="G12" t="s">
        <v>61</v>
      </c>
      <c r="H12" t="s">
        <v>74</v>
      </c>
      <c r="I12" s="9" t="s">
        <v>171</v>
      </c>
    </row>
    <row r="13" spans="1:9" x14ac:dyDescent="0.25">
      <c r="A13" s="8" t="s">
        <v>146</v>
      </c>
      <c r="B13" t="s">
        <v>33</v>
      </c>
      <c r="C13" t="s">
        <v>125</v>
      </c>
      <c r="D13" t="s">
        <v>126</v>
      </c>
      <c r="E13" s="7">
        <v>13000</v>
      </c>
      <c r="F13" t="s">
        <v>72</v>
      </c>
      <c r="G13" t="s">
        <v>73</v>
      </c>
      <c r="H13" t="s">
        <v>127</v>
      </c>
      <c r="I13" s="9" t="s">
        <v>172</v>
      </c>
    </row>
    <row r="14" spans="1:9" x14ac:dyDescent="0.25">
      <c r="A14" s="8" t="s">
        <v>146</v>
      </c>
      <c r="B14" t="s">
        <v>37</v>
      </c>
      <c r="C14" t="s">
        <v>16</v>
      </c>
      <c r="D14" t="s">
        <v>38</v>
      </c>
      <c r="E14">
        <v>220</v>
      </c>
      <c r="F14" t="s">
        <v>72</v>
      </c>
      <c r="G14" t="s">
        <v>61</v>
      </c>
      <c r="H14" t="s">
        <v>75</v>
      </c>
      <c r="I14" s="9" t="s">
        <v>173</v>
      </c>
    </row>
    <row r="15" spans="1:9" x14ac:dyDescent="0.25">
      <c r="A15" s="8" t="s">
        <v>146</v>
      </c>
      <c r="B15" t="s">
        <v>37</v>
      </c>
      <c r="C15" t="s">
        <v>16</v>
      </c>
      <c r="D15" t="s">
        <v>128</v>
      </c>
      <c r="E15">
        <v>100</v>
      </c>
      <c r="F15" t="s">
        <v>72</v>
      </c>
      <c r="G15" t="s">
        <v>61</v>
      </c>
      <c r="H15" t="s">
        <v>129</v>
      </c>
      <c r="I15" s="9" t="s">
        <v>173</v>
      </c>
    </row>
    <row r="16" spans="1:9" x14ac:dyDescent="0.25">
      <c r="A16" s="8" t="s">
        <v>146</v>
      </c>
      <c r="B16" t="s">
        <v>39</v>
      </c>
      <c r="C16" t="s">
        <v>16</v>
      </c>
      <c r="D16" t="s">
        <v>40</v>
      </c>
      <c r="E16" s="7">
        <v>6400</v>
      </c>
      <c r="F16" t="s">
        <v>60</v>
      </c>
      <c r="G16" t="s">
        <v>61</v>
      </c>
      <c r="H16" t="s">
        <v>76</v>
      </c>
      <c r="I16" s="9" t="s">
        <v>173</v>
      </c>
    </row>
    <row r="17" spans="1:9" x14ac:dyDescent="0.25">
      <c r="A17" s="8" t="s">
        <v>147</v>
      </c>
      <c r="B17" t="s">
        <v>33</v>
      </c>
      <c r="C17" t="s">
        <v>20</v>
      </c>
      <c r="D17" t="s">
        <v>130</v>
      </c>
      <c r="E17">
        <v>100</v>
      </c>
      <c r="F17" t="s">
        <v>72</v>
      </c>
      <c r="G17" t="s">
        <v>61</v>
      </c>
      <c r="H17" t="s">
        <v>74</v>
      </c>
      <c r="I17" s="9" t="s">
        <v>167</v>
      </c>
    </row>
    <row r="18" spans="1:9" x14ac:dyDescent="0.25">
      <c r="A18" s="8" t="s">
        <v>147</v>
      </c>
      <c r="B18" t="s">
        <v>33</v>
      </c>
      <c r="C18" t="s">
        <v>20</v>
      </c>
      <c r="D18" t="s">
        <v>130</v>
      </c>
      <c r="E18">
        <v>-100</v>
      </c>
      <c r="F18" t="s">
        <v>72</v>
      </c>
      <c r="G18" t="s">
        <v>69</v>
      </c>
      <c r="H18" t="s">
        <v>74</v>
      </c>
      <c r="I18" s="9" t="s">
        <v>174</v>
      </c>
    </row>
    <row r="19" spans="1:9" x14ac:dyDescent="0.25">
      <c r="A19" s="8" t="s">
        <v>193</v>
      </c>
      <c r="B19" t="s">
        <v>9</v>
      </c>
      <c r="C19" t="s">
        <v>131</v>
      </c>
      <c r="D19" t="s">
        <v>11</v>
      </c>
      <c r="E19">
        <v>179</v>
      </c>
      <c r="F19" t="s">
        <v>60</v>
      </c>
      <c r="G19" t="s">
        <v>61</v>
      </c>
      <c r="H19" t="s">
        <v>63</v>
      </c>
      <c r="I19" s="9" t="s">
        <v>180</v>
      </c>
    </row>
    <row r="20" spans="1:9" x14ac:dyDescent="0.25">
      <c r="A20" s="8" t="s">
        <v>192</v>
      </c>
      <c r="B20" t="s">
        <v>15</v>
      </c>
      <c r="C20" t="s">
        <v>16</v>
      </c>
      <c r="D20" t="s">
        <v>17</v>
      </c>
      <c r="E20">
        <v>340</v>
      </c>
      <c r="F20" t="s">
        <v>60</v>
      </c>
      <c r="G20" t="s">
        <v>61</v>
      </c>
      <c r="H20" t="s">
        <v>66</v>
      </c>
      <c r="I20" s="9" t="s">
        <v>181</v>
      </c>
    </row>
    <row r="21" spans="1:9" x14ac:dyDescent="0.25">
      <c r="A21" s="8" t="s">
        <v>191</v>
      </c>
      <c r="B21" t="s">
        <v>25</v>
      </c>
      <c r="C21" t="s">
        <v>26</v>
      </c>
      <c r="D21" t="s">
        <v>27</v>
      </c>
      <c r="E21">
        <v>87</v>
      </c>
      <c r="F21" t="s">
        <v>60</v>
      </c>
      <c r="G21" t="s">
        <v>69</v>
      </c>
      <c r="H21" t="s">
        <v>70</v>
      </c>
      <c r="I21" s="9" t="s">
        <v>182</v>
      </c>
    </row>
    <row r="22" spans="1:9" x14ac:dyDescent="0.25">
      <c r="A22" s="8" t="s">
        <v>150</v>
      </c>
      <c r="B22" t="s">
        <v>19</v>
      </c>
      <c r="C22" t="s">
        <v>20</v>
      </c>
      <c r="D22" t="s">
        <v>21</v>
      </c>
      <c r="E22">
        <v>80</v>
      </c>
      <c r="F22" t="s">
        <v>60</v>
      </c>
      <c r="G22" t="s">
        <v>61</v>
      </c>
      <c r="H22" t="s">
        <v>67</v>
      </c>
      <c r="I22" s="9" t="s">
        <v>148</v>
      </c>
    </row>
    <row r="23" spans="1:9" x14ac:dyDescent="0.25">
      <c r="A23" s="8" t="s">
        <v>149</v>
      </c>
      <c r="B23" t="s">
        <v>19</v>
      </c>
      <c r="C23" t="s">
        <v>20</v>
      </c>
      <c r="D23" t="s">
        <v>21</v>
      </c>
      <c r="E23">
        <v>35</v>
      </c>
      <c r="F23" t="s">
        <v>60</v>
      </c>
      <c r="G23" t="s">
        <v>73</v>
      </c>
      <c r="H23" t="s">
        <v>67</v>
      </c>
      <c r="I23" s="9" t="s">
        <v>148</v>
      </c>
    </row>
    <row r="24" spans="1:9" x14ac:dyDescent="0.25">
      <c r="A24" s="8" t="s">
        <v>150</v>
      </c>
      <c r="B24" t="s">
        <v>22</v>
      </c>
      <c r="C24" t="s">
        <v>23</v>
      </c>
      <c r="D24" t="s">
        <v>24</v>
      </c>
      <c r="E24" s="7">
        <v>1000</v>
      </c>
      <c r="F24" t="s">
        <v>60</v>
      </c>
      <c r="G24" t="s">
        <v>61</v>
      </c>
      <c r="H24" t="s">
        <v>68</v>
      </c>
      <c r="I24" s="9" t="s">
        <v>183</v>
      </c>
    </row>
    <row r="25" spans="1:9" x14ac:dyDescent="0.25">
      <c r="A25" s="8" t="s">
        <v>151</v>
      </c>
      <c r="B25" t="s">
        <v>33</v>
      </c>
      <c r="C25" t="s">
        <v>34</v>
      </c>
      <c r="D25" t="s">
        <v>35</v>
      </c>
      <c r="E25" s="7">
        <v>-20000</v>
      </c>
      <c r="F25" t="s">
        <v>72</v>
      </c>
      <c r="G25" t="s">
        <v>73</v>
      </c>
      <c r="H25" t="s">
        <v>74</v>
      </c>
      <c r="I25" s="9" t="s">
        <v>163</v>
      </c>
    </row>
    <row r="26" spans="1:9" x14ac:dyDescent="0.25">
      <c r="A26" s="8" t="s">
        <v>151</v>
      </c>
      <c r="B26" t="s">
        <v>33</v>
      </c>
      <c r="C26" t="s">
        <v>34</v>
      </c>
      <c r="D26" t="s">
        <v>35</v>
      </c>
      <c r="E26" s="7">
        <v>20000</v>
      </c>
      <c r="F26" t="s">
        <v>72</v>
      </c>
      <c r="G26" t="s">
        <v>61</v>
      </c>
      <c r="H26" t="s">
        <v>74</v>
      </c>
      <c r="I26" s="9" t="s">
        <v>163</v>
      </c>
    </row>
    <row r="27" spans="1:9" x14ac:dyDescent="0.25">
      <c r="A27" s="8" t="s">
        <v>152</v>
      </c>
      <c r="B27" t="s">
        <v>42</v>
      </c>
      <c r="C27" t="s">
        <v>43</v>
      </c>
      <c r="D27" t="s">
        <v>44</v>
      </c>
      <c r="E27" s="7">
        <v>1300</v>
      </c>
      <c r="F27" t="s">
        <v>72</v>
      </c>
      <c r="G27" t="s">
        <v>61</v>
      </c>
      <c r="H27" t="s">
        <v>77</v>
      </c>
      <c r="I27" s="9" t="s">
        <v>114</v>
      </c>
    </row>
    <row r="28" spans="1:9" x14ac:dyDescent="0.25">
      <c r="A28" s="8" t="s">
        <v>153</v>
      </c>
      <c r="B28" t="s">
        <v>33</v>
      </c>
      <c r="C28" t="s">
        <v>125</v>
      </c>
      <c r="D28" t="s">
        <v>126</v>
      </c>
      <c r="E28" s="7">
        <v>20000</v>
      </c>
      <c r="F28" t="s">
        <v>72</v>
      </c>
      <c r="G28" t="s">
        <v>73</v>
      </c>
      <c r="H28" t="s">
        <v>127</v>
      </c>
      <c r="I28" s="9" t="s">
        <v>115</v>
      </c>
    </row>
    <row r="29" spans="1:9" x14ac:dyDescent="0.25">
      <c r="A29" s="8" t="s">
        <v>154</v>
      </c>
      <c r="B29" t="s">
        <v>46</v>
      </c>
      <c r="C29" t="s">
        <v>23</v>
      </c>
      <c r="D29" t="s">
        <v>47</v>
      </c>
      <c r="E29" s="7">
        <v>3000</v>
      </c>
      <c r="F29" t="s">
        <v>60</v>
      </c>
      <c r="G29" t="s">
        <v>61</v>
      </c>
      <c r="H29" t="s">
        <v>78</v>
      </c>
      <c r="I29" s="9" t="s">
        <v>101</v>
      </c>
    </row>
    <row r="30" spans="1:9" x14ac:dyDescent="0.25">
      <c r="A30" s="8" t="s">
        <v>154</v>
      </c>
      <c r="B30" t="s">
        <v>37</v>
      </c>
      <c r="C30" t="s">
        <v>16</v>
      </c>
      <c r="D30" t="s">
        <v>38</v>
      </c>
      <c r="E30">
        <v>220</v>
      </c>
      <c r="F30" t="s">
        <v>72</v>
      </c>
      <c r="G30" t="s">
        <v>61</v>
      </c>
      <c r="H30" t="s">
        <v>75</v>
      </c>
      <c r="I30" s="9" t="s">
        <v>164</v>
      </c>
    </row>
    <row r="31" spans="1:9" x14ac:dyDescent="0.25">
      <c r="A31" s="8" t="s">
        <v>154</v>
      </c>
      <c r="B31" t="s">
        <v>37</v>
      </c>
      <c r="C31" t="s">
        <v>16</v>
      </c>
      <c r="D31" t="s">
        <v>128</v>
      </c>
      <c r="E31">
        <v>100</v>
      </c>
      <c r="F31" t="s">
        <v>72</v>
      </c>
      <c r="G31" t="s">
        <v>61</v>
      </c>
      <c r="H31" t="s">
        <v>129</v>
      </c>
      <c r="I31" s="9" t="s">
        <v>164</v>
      </c>
    </row>
    <row r="32" spans="1:9" x14ac:dyDescent="0.25">
      <c r="A32" s="8" t="s">
        <v>154</v>
      </c>
      <c r="B32" t="s">
        <v>39</v>
      </c>
      <c r="C32" t="s">
        <v>16</v>
      </c>
      <c r="D32" t="s">
        <v>40</v>
      </c>
      <c r="E32" s="7">
        <v>6400</v>
      </c>
      <c r="F32" t="s">
        <v>60</v>
      </c>
      <c r="G32" t="s">
        <v>61</v>
      </c>
      <c r="H32" t="s">
        <v>76</v>
      </c>
      <c r="I32" s="9" t="s">
        <v>165</v>
      </c>
    </row>
    <row r="33" spans="1:9" x14ac:dyDescent="0.25">
      <c r="A33" s="8" t="s">
        <v>155</v>
      </c>
      <c r="B33" t="s">
        <v>49</v>
      </c>
      <c r="C33" t="s">
        <v>50</v>
      </c>
      <c r="D33" t="s">
        <v>51</v>
      </c>
      <c r="E33">
        <v>41</v>
      </c>
      <c r="F33" t="s">
        <v>60</v>
      </c>
      <c r="G33" t="s">
        <v>69</v>
      </c>
      <c r="H33" t="s">
        <v>80</v>
      </c>
      <c r="I33" s="9" t="s">
        <v>102</v>
      </c>
    </row>
    <row r="34" spans="1:9" x14ac:dyDescent="0.25">
      <c r="A34" s="8" t="s">
        <v>156</v>
      </c>
      <c r="B34" t="s">
        <v>33</v>
      </c>
      <c r="C34" t="s">
        <v>20</v>
      </c>
      <c r="D34" t="s">
        <v>130</v>
      </c>
      <c r="E34">
        <v>100</v>
      </c>
      <c r="F34" t="s">
        <v>72</v>
      </c>
      <c r="G34" t="s">
        <v>61</v>
      </c>
      <c r="H34" t="s">
        <v>74</v>
      </c>
      <c r="I34" s="9" t="s">
        <v>175</v>
      </c>
    </row>
    <row r="35" spans="1:9" x14ac:dyDescent="0.25">
      <c r="A35" s="8" t="s">
        <v>156</v>
      </c>
      <c r="B35" t="s">
        <v>33</v>
      </c>
      <c r="C35" t="s">
        <v>20</v>
      </c>
      <c r="D35" t="s">
        <v>130</v>
      </c>
      <c r="E35">
        <v>-100</v>
      </c>
      <c r="F35" t="s">
        <v>72</v>
      </c>
      <c r="G35" t="s">
        <v>69</v>
      </c>
      <c r="H35" t="s">
        <v>74</v>
      </c>
      <c r="I35" s="9" t="s">
        <v>175</v>
      </c>
    </row>
    <row r="36" spans="1:9" x14ac:dyDescent="0.25">
      <c r="A36" s="8" t="s">
        <v>190</v>
      </c>
      <c r="B36" t="s">
        <v>9</v>
      </c>
      <c r="C36" t="s">
        <v>135</v>
      </c>
      <c r="D36" t="s">
        <v>11</v>
      </c>
      <c r="E36">
        <v>179</v>
      </c>
      <c r="F36" t="s">
        <v>60</v>
      </c>
      <c r="G36" t="s">
        <v>61</v>
      </c>
      <c r="H36" t="s">
        <v>63</v>
      </c>
      <c r="I36" s="9" t="s">
        <v>166</v>
      </c>
    </row>
    <row r="37" spans="1:9" x14ac:dyDescent="0.25">
      <c r="A37" s="8" t="s">
        <v>190</v>
      </c>
      <c r="B37" t="s">
        <v>52</v>
      </c>
      <c r="C37" t="s">
        <v>23</v>
      </c>
      <c r="D37" t="s">
        <v>53</v>
      </c>
      <c r="E37">
        <v>220</v>
      </c>
      <c r="F37" t="s">
        <v>60</v>
      </c>
      <c r="G37" t="s">
        <v>61</v>
      </c>
      <c r="H37" t="s">
        <v>82</v>
      </c>
      <c r="I37" s="9" t="s">
        <v>166</v>
      </c>
    </row>
    <row r="38" spans="1:9" x14ac:dyDescent="0.25">
      <c r="A38" s="8" t="s">
        <v>189</v>
      </c>
      <c r="B38" t="s">
        <v>15</v>
      </c>
      <c r="C38" t="s">
        <v>16</v>
      </c>
      <c r="D38" t="s">
        <v>17</v>
      </c>
      <c r="E38">
        <v>340</v>
      </c>
      <c r="F38" t="s">
        <v>60</v>
      </c>
      <c r="G38" t="s">
        <v>61</v>
      </c>
      <c r="H38" t="s">
        <v>66</v>
      </c>
      <c r="I38" s="9" t="s">
        <v>184</v>
      </c>
    </row>
    <row r="39" spans="1:9" x14ac:dyDescent="0.25">
      <c r="A39" s="8" t="s">
        <v>188</v>
      </c>
      <c r="B39" t="s">
        <v>54</v>
      </c>
      <c r="C39" t="s">
        <v>55</v>
      </c>
      <c r="D39" t="s">
        <v>56</v>
      </c>
      <c r="E39">
        <v>563</v>
      </c>
      <c r="F39" t="s">
        <v>60</v>
      </c>
      <c r="G39" t="s">
        <v>61</v>
      </c>
      <c r="H39" t="s">
        <v>71</v>
      </c>
      <c r="I39" s="9" t="s">
        <v>185</v>
      </c>
    </row>
    <row r="40" spans="1:9" x14ac:dyDescent="0.25">
      <c r="A40" s="8" t="s">
        <v>188</v>
      </c>
      <c r="B40" t="s">
        <v>57</v>
      </c>
      <c r="C40" t="s">
        <v>23</v>
      </c>
      <c r="D40" t="s">
        <v>58</v>
      </c>
      <c r="E40">
        <v>982</v>
      </c>
      <c r="F40" t="s">
        <v>60</v>
      </c>
      <c r="G40" t="s">
        <v>61</v>
      </c>
      <c r="H40" t="s">
        <v>84</v>
      </c>
      <c r="I40" s="9" t="s">
        <v>186</v>
      </c>
    </row>
    <row r="41" spans="1:9" x14ac:dyDescent="0.25">
      <c r="A41" s="8" t="s">
        <v>157</v>
      </c>
      <c r="B41" t="s">
        <v>19</v>
      </c>
      <c r="C41" t="s">
        <v>20</v>
      </c>
      <c r="D41" t="s">
        <v>21</v>
      </c>
      <c r="E41">
        <v>80</v>
      </c>
      <c r="F41" t="s">
        <v>60</v>
      </c>
      <c r="G41" t="s">
        <v>61</v>
      </c>
      <c r="H41" t="s">
        <v>67</v>
      </c>
      <c r="I41" s="9" t="s">
        <v>157</v>
      </c>
    </row>
    <row r="42" spans="1:9" x14ac:dyDescent="0.25">
      <c r="A42" s="8" t="s">
        <v>158</v>
      </c>
      <c r="B42" t="s">
        <v>19</v>
      </c>
      <c r="C42" t="s">
        <v>20</v>
      </c>
      <c r="D42" t="s">
        <v>21</v>
      </c>
      <c r="E42">
        <v>35</v>
      </c>
      <c r="F42" t="s">
        <v>60</v>
      </c>
      <c r="G42" t="s">
        <v>73</v>
      </c>
      <c r="H42" t="s">
        <v>67</v>
      </c>
      <c r="I42" s="9" t="s">
        <v>157</v>
      </c>
    </row>
    <row r="43" spans="1:9" x14ac:dyDescent="0.25">
      <c r="A43" s="8" t="s">
        <v>157</v>
      </c>
      <c r="B43" t="s">
        <v>22</v>
      </c>
      <c r="C43" t="s">
        <v>23</v>
      </c>
      <c r="D43" t="s">
        <v>24</v>
      </c>
      <c r="E43" s="7">
        <v>1000</v>
      </c>
      <c r="F43" t="s">
        <v>60</v>
      </c>
      <c r="G43" t="s">
        <v>61</v>
      </c>
      <c r="H43" t="s">
        <v>68</v>
      </c>
      <c r="I43" s="9" t="s">
        <v>187</v>
      </c>
    </row>
    <row r="44" spans="1:9" x14ac:dyDescent="0.25">
      <c r="A44" s="8" t="s">
        <v>159</v>
      </c>
      <c r="B44" t="s">
        <v>33</v>
      </c>
      <c r="C44" t="s">
        <v>34</v>
      </c>
      <c r="D44" t="s">
        <v>35</v>
      </c>
      <c r="E44" s="7">
        <v>-20000</v>
      </c>
      <c r="F44" t="s">
        <v>72</v>
      </c>
      <c r="G44" t="s">
        <v>73</v>
      </c>
      <c r="H44" t="s">
        <v>74</v>
      </c>
      <c r="I44" s="9" t="s">
        <v>161</v>
      </c>
    </row>
    <row r="45" spans="1:9" x14ac:dyDescent="0.25">
      <c r="A45" s="8" t="s">
        <v>159</v>
      </c>
      <c r="B45" t="s">
        <v>33</v>
      </c>
      <c r="C45" t="s">
        <v>34</v>
      </c>
      <c r="D45" t="s">
        <v>35</v>
      </c>
      <c r="E45" s="7">
        <v>20000</v>
      </c>
      <c r="F45" t="s">
        <v>72</v>
      </c>
      <c r="G45" t="s">
        <v>61</v>
      </c>
      <c r="H45" t="s">
        <v>74</v>
      </c>
      <c r="I45" s="9" t="s">
        <v>161</v>
      </c>
    </row>
    <row r="46" spans="1:9" x14ac:dyDescent="0.25">
      <c r="A46" s="8" t="s">
        <v>160</v>
      </c>
      <c r="B46" t="s">
        <v>33</v>
      </c>
      <c r="C46" t="s">
        <v>125</v>
      </c>
      <c r="D46" t="s">
        <v>126</v>
      </c>
      <c r="E46" s="7">
        <v>20000</v>
      </c>
      <c r="F46" t="s">
        <v>72</v>
      </c>
      <c r="G46" t="s">
        <v>73</v>
      </c>
      <c r="H46" t="s">
        <v>127</v>
      </c>
      <c r="I46" s="9" t="s">
        <v>162</v>
      </c>
    </row>
    <row r="47" spans="1:9" x14ac:dyDescent="0.25">
      <c r="A47" s="8" t="s">
        <v>160</v>
      </c>
      <c r="B47" t="s">
        <v>37</v>
      </c>
      <c r="C47" t="s">
        <v>16</v>
      </c>
      <c r="D47" t="s">
        <v>38</v>
      </c>
      <c r="E47">
        <v>220</v>
      </c>
      <c r="F47" t="s">
        <v>72</v>
      </c>
      <c r="G47" t="s">
        <v>61</v>
      </c>
      <c r="H47" t="s">
        <v>75</v>
      </c>
      <c r="I47" s="9" t="s">
        <v>162</v>
      </c>
    </row>
    <row r="48" spans="1:9" x14ac:dyDescent="0.25">
      <c r="A48" s="8" t="s">
        <v>160</v>
      </c>
      <c r="B48" t="s">
        <v>37</v>
      </c>
      <c r="C48" t="s">
        <v>16</v>
      </c>
      <c r="D48" t="s">
        <v>128</v>
      </c>
      <c r="E48">
        <v>100</v>
      </c>
      <c r="F48" t="s">
        <v>72</v>
      </c>
      <c r="G48" t="s">
        <v>61</v>
      </c>
      <c r="H48" t="s">
        <v>129</v>
      </c>
      <c r="I48" s="9" t="s">
        <v>160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E39FD3B-7B7C-483F-8D3B-B56645F5A12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Expenses (4)</vt:lpstr>
      <vt:lpstr>Pivot_Slicer</vt:lpstr>
      <vt:lpstr>Raw _Data _Expenses</vt:lpstr>
      <vt:lpstr>Expense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919974683691</dc:creator>
  <cp:lastModifiedBy>ac5415676@gmail.com</cp:lastModifiedBy>
  <dcterms:created xsi:type="dcterms:W3CDTF">2026-04-03T05:57:31Z</dcterms:created>
  <dcterms:modified xsi:type="dcterms:W3CDTF">2026-04-03T11:34:12Z</dcterms:modified>
</cp:coreProperties>
</file>