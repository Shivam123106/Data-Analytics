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06972ADC-D864-45F9-BE80-EC55E9660313}" xr6:coauthVersionLast="47" xr6:coauthVersionMax="47" xr10:uidLastSave="{00000000-0000-0000-0000-000000000000}"/>
  <bookViews>
    <workbookView xWindow="-120" yWindow="-120" windowWidth="20730" windowHeight="11040" activeTab="1" xr2:uid="{82769D90-2CB8-488F-89AB-A85C99CE4992}"/>
  </bookViews>
  <sheets>
    <sheet name="Raw_Data_Expenses" sheetId="1" r:id="rId1"/>
    <sheet name=" Expense (2)" sheetId="2" r:id="rId2"/>
    <sheet name="Pivot_Slicer" sheetId="10" r:id="rId3"/>
    <sheet name="Expenses (4)" sheetId="14" r:id="rId4"/>
  </sheets>
  <definedNames>
    <definedName name="ExternalData_1" localSheetId="3" hidden="1">'Expenses (4)'!$A$1:$I$8</definedName>
  </definedNames>
  <calcPr calcId="181029"/>
  <pivotCaches>
    <pivotCache cacheId="54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F677FE-9626-4C3A-8518-830523C3B5C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C70611EB-C1C1-437A-9101-924070654D47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BF4140E3-29CB-4D5D-A4E9-747140E4D418}" keepAlive="1" name="Query - Table6" description="Connection to the 'Table6' query in the workbook." type="5" refreshedVersion="0" background="1">
    <dbPr connection="Provider=Microsoft.Mashup.OleDb.1;Data Source=$Workbook$;Location=Table6;Extended Properties=&quot;&quot;" command="SELECT * FROM [Table6]"/>
  </connection>
  <connection id="4" xr16:uid="{C3146948-B01A-4CB8-A60C-84FBC2DA4B3C}" keepAlive="1" name="Query - Table8" description="Connection to the 'Table8' query in the workbook." type="5" refreshedVersion="8" background="1" saveData="1">
    <dbPr connection="Provider=Microsoft.Mashup.OleDb.1;Data Source=$Workbook$;Location=Table8;Extended Properties=&quot;&quot;" command="SELECT * FROM [Table8]"/>
  </connection>
</connections>
</file>

<file path=xl/sharedStrings.xml><?xml version="1.0" encoding="utf-8"?>
<sst xmlns="http://schemas.openxmlformats.org/spreadsheetml/2006/main" count="778" uniqueCount="151">
  <si>
    <t>Document Date</t>
  </si>
  <si>
    <t>Supplier</t>
  </si>
  <si>
    <t>Reference</t>
  </si>
  <si>
    <t>Description</t>
  </si>
  <si>
    <t>Amount</t>
  </si>
  <si>
    <t>Tax Code</t>
  </si>
  <si>
    <t>Bank Code</t>
  </si>
  <si>
    <t>Account Code</t>
  </si>
  <si>
    <t>Payment Date</t>
  </si>
  <si>
    <t>2/14/2011</t>
  </si>
  <si>
    <t>JV Solutions</t>
  </si>
  <si>
    <t>S77782</t>
  </si>
  <si>
    <t>Opening Balance</t>
  </si>
  <si>
    <t>A</t>
  </si>
  <si>
    <t>B1</t>
  </si>
  <si>
    <t>BS-500</t>
  </si>
  <si>
    <t>IS Communications</t>
  </si>
  <si>
    <t>Invoice EXP22</t>
  </si>
  <si>
    <t>Internet Service Provider</t>
  </si>
  <si>
    <t>IS-380</t>
  </si>
  <si>
    <t>3/31/2011</t>
  </si>
  <si>
    <t>Newscorp</t>
  </si>
  <si>
    <t>Subscriptions</t>
  </si>
  <si>
    <t>IS-375</t>
  </si>
  <si>
    <t>EAG Brokers</t>
  </si>
  <si>
    <t>Debit Order</t>
  </si>
  <si>
    <t>Insurance</t>
  </si>
  <si>
    <t>IS-340</t>
  </si>
  <si>
    <t>3/15/2011</t>
  </si>
  <si>
    <t>Capital Bank</t>
  </si>
  <si>
    <t>Bank Statement</t>
  </si>
  <si>
    <t>Service Fees</t>
  </si>
  <si>
    <t>IS-315</t>
  </si>
  <si>
    <t>B2</t>
  </si>
  <si>
    <t>IAS Accountants</t>
  </si>
  <si>
    <t>Invoice</t>
  </si>
  <si>
    <t>Bookkeeping</t>
  </si>
  <si>
    <t>IS-305</t>
  </si>
  <si>
    <t>Interflora</t>
  </si>
  <si>
    <t>Cash</t>
  </si>
  <si>
    <t>Flowers</t>
  </si>
  <si>
    <t>PC</t>
  </si>
  <si>
    <t>IS-345</t>
  </si>
  <si>
    <t>3/18/2011</t>
  </si>
  <si>
    <t>QQ International</t>
  </si>
  <si>
    <t>TR6998</t>
  </si>
  <si>
    <t>Parking</t>
  </si>
  <si>
    <t>IS-390</t>
  </si>
  <si>
    <t>3/20/2011</t>
  </si>
  <si>
    <t>Example (Pty) Ltd</t>
  </si>
  <si>
    <t>Transfer</t>
  </si>
  <si>
    <t>Inter Account Transfer</t>
  </si>
  <si>
    <t>E</t>
  </si>
  <si>
    <t>BS-399</t>
  </si>
  <si>
    <t>3/26/2011</t>
  </si>
  <si>
    <t>Payroll</t>
  </si>
  <si>
    <t>Salaries</t>
  </si>
  <si>
    <t>IS-365</t>
  </si>
  <si>
    <t>HP Finance</t>
  </si>
  <si>
    <t>Capital repayment</t>
  </si>
  <si>
    <t>BS-700</t>
  </si>
  <si>
    <t>Interest paid</t>
  </si>
  <si>
    <t>IS-500</t>
  </si>
  <si>
    <t>PR Properties</t>
  </si>
  <si>
    <t>Rent</t>
  </si>
  <si>
    <t>IS-350</t>
  </si>
  <si>
    <t>Petty Cash Reimbursement</t>
  </si>
  <si>
    <t>Invoice EXP23</t>
  </si>
  <si>
    <t>4/15/2011</t>
  </si>
  <si>
    <t>4/20/2011</t>
  </si>
  <si>
    <t>4/25/2011</t>
  </si>
  <si>
    <t>Inland Revenue</t>
  </si>
  <si>
    <t>Return</t>
  </si>
  <si>
    <t>Sales Tax</t>
  </si>
  <si>
    <t>BS-600</t>
  </si>
  <si>
    <t>4/26/2011</t>
  </si>
  <si>
    <t>Furniture City</t>
  </si>
  <si>
    <t>Furniture</t>
  </si>
  <si>
    <t>BS-100</t>
  </si>
  <si>
    <t>5/26/2011</t>
  </si>
  <si>
    <t>4/29/2011</t>
  </si>
  <si>
    <t>GF Supplies</t>
  </si>
  <si>
    <t>IN1179</t>
  </si>
  <si>
    <t>Consumables</t>
  </si>
  <si>
    <t>IS-325</t>
  </si>
  <si>
    <t>5/29/2011</t>
  </si>
  <si>
    <t>4/30/2011</t>
  </si>
  <si>
    <t>Invoice EXP24</t>
  </si>
  <si>
    <t>5/31/2011</t>
  </si>
  <si>
    <t>Training Inc</t>
  </si>
  <si>
    <t>Course</t>
  </si>
  <si>
    <t>IS-385</t>
  </si>
  <si>
    <t>City Lodge</t>
  </si>
  <si>
    <t>S50037</t>
  </si>
  <si>
    <t>Accommodation</t>
  </si>
  <si>
    <t>Waltons</t>
  </si>
  <si>
    <t>Stationery</t>
  </si>
  <si>
    <t>IS-370</t>
  </si>
  <si>
    <t>5/15/2011</t>
  </si>
  <si>
    <t>5/20/2011</t>
  </si>
  <si>
    <t xml:space="preserve">                 2/14/2011</t>
  </si>
  <si>
    <t xml:space="preserve">                3/15/2011</t>
  </si>
  <si>
    <t xml:space="preserve">               3/15/2011</t>
  </si>
  <si>
    <t xml:space="preserve">               3/18/2011</t>
  </si>
  <si>
    <t xml:space="preserve">               3/20/2011</t>
  </si>
  <si>
    <t xml:space="preserve">                3/20/2011</t>
  </si>
  <si>
    <t xml:space="preserve">                3/26/2011</t>
  </si>
  <si>
    <t xml:space="preserve">               3/26/2011</t>
  </si>
  <si>
    <t xml:space="preserve">               3/31/2011</t>
  </si>
  <si>
    <t xml:space="preserve">                 4/15/2011</t>
  </si>
  <si>
    <t xml:space="preserve">                4/15/2011</t>
  </si>
  <si>
    <t xml:space="preserve">                4/20/2011</t>
  </si>
  <si>
    <t xml:space="preserve">               4/20/2011</t>
  </si>
  <si>
    <t xml:space="preserve">               4/25/2011</t>
  </si>
  <si>
    <t xml:space="preserve">               4/26/2011</t>
  </si>
  <si>
    <t xml:space="preserve">                4/26/2011</t>
  </si>
  <si>
    <t xml:space="preserve">               4/29/2011</t>
  </si>
  <si>
    <t xml:space="preserve">               4/30/2011</t>
  </si>
  <si>
    <t xml:space="preserve">                 4/30/2011</t>
  </si>
  <si>
    <t xml:space="preserve">                5/15/2011</t>
  </si>
  <si>
    <t xml:space="preserve">               5/20/2011</t>
  </si>
  <si>
    <t xml:space="preserve">              5/26/2011</t>
  </si>
  <si>
    <t xml:space="preserve">               5/26/2011</t>
  </si>
  <si>
    <t xml:space="preserve">              3/31/2011</t>
  </si>
  <si>
    <t xml:space="preserve">             3/15/2011</t>
  </si>
  <si>
    <t xml:space="preserve">             3/18/2011</t>
  </si>
  <si>
    <t xml:space="preserve">             3/20/2011</t>
  </si>
  <si>
    <t xml:space="preserve">              3/20/2011</t>
  </si>
  <si>
    <t xml:space="preserve">             3/26/2011</t>
  </si>
  <si>
    <t xml:space="preserve">            3/26/2011</t>
  </si>
  <si>
    <t xml:space="preserve">             3/31/2011</t>
  </si>
  <si>
    <t xml:space="preserve">             4/15/2011</t>
  </si>
  <si>
    <t xml:space="preserve">             4/20/2011</t>
  </si>
  <si>
    <t xml:space="preserve">            4/20/2011</t>
  </si>
  <si>
    <t xml:space="preserve">            4/25/2011</t>
  </si>
  <si>
    <t xml:space="preserve">             4/26/2011</t>
  </si>
  <si>
    <t xml:space="preserve">            5/26/2011</t>
  </si>
  <si>
    <t xml:space="preserve">            4/26/2011</t>
  </si>
  <si>
    <t xml:space="preserve">           4/26/2011</t>
  </si>
  <si>
    <t xml:space="preserve">           5/29/2011</t>
  </si>
  <si>
    <t xml:space="preserve">            4/30/2011</t>
  </si>
  <si>
    <t xml:space="preserve">             4/30/2011</t>
  </si>
  <si>
    <t xml:space="preserve">             5/31/2011</t>
  </si>
  <si>
    <t xml:space="preserve">            5/31/2011</t>
  </si>
  <si>
    <t xml:space="preserve">             5/15/2011</t>
  </si>
  <si>
    <t xml:space="preserve">            5/20/2011</t>
  </si>
  <si>
    <t xml:space="preserve">             5/26/2011</t>
  </si>
  <si>
    <t>Sum of Amount</t>
  </si>
  <si>
    <t>Row Labels</t>
  </si>
  <si>
    <t>Grand Total</t>
  </si>
  <si>
    <t>1381119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</si>
</sst>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9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[Advanced Ecxal Assessment -4.xlsx]Pivot_Slicer!PivotTable26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Pivot_Slicer!$B$3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Pivot_Slicer!$A$4:$A$6</c:f>
              <c:strCache>
                <c:ptCount val="2"/>
                <c:pt idx="0">
                  <c:v>IS-375</c:v>
                </c:pt>
                <c:pt idx="1">
                  <c:v>IS-390</c:v>
                </c:pt>
              </c:strCache>
            </c:strRef>
          </c:cat>
          <c:val>
            <c:numRef>
              <c:f>Pivot_Slicer!$B$4:$B$6</c:f>
              <c:numCache>
                <c:formatCode>General</c:formatCode>
                <c:ptCount val="2"/>
                <c:pt idx="0">
                  <c:v>478</c:v>
                </c:pt>
                <c:pt idx="1">
                  <c:v>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D2-4471-B7F5-1C0734FFB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8227464"/>
        <c:axId val="898229264"/>
      </c:barChart>
      <c:catAx>
        <c:axId val="898227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229264"/>
        <c:crosses val="autoZero"/>
        <c:auto val="1"/>
        <c:lblAlgn val="ctr"/>
        <c:lblOffset val="100"/>
        <c:noMultiLvlLbl val="0"/>
      </c:catAx>
      <c:valAx>
        <c:axId val="89822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227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8</xdr:row>
      <xdr:rowOff>19050</xdr:rowOff>
    </xdr:from>
    <xdr:to>
      <xdr:col>7</xdr:col>
      <xdr:colOff>533400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315DA-21FE-1FFB-7D99-AD2B59C63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03.965332754633" createdVersion="8" refreshedVersion="8" minRefreshableVersion="3" recordCount="8" xr:uid="{EE7D06EB-033B-4FBA-B79C-19A83CBFCEA8}">
  <cacheSource type="worksheet">
    <worksheetSource name="Table1_2"/>
  </cacheSource>
  <cacheFields count="9">
    <cacheField name="Document Date" numFmtId="14">
      <sharedItems containsSemiMixedTypes="0" containsNonDate="0" containsDate="1" containsString="0" minDate="2011-01-04T00:00:00" maxDate="2011-12-05T00:00:00"/>
    </cacheField>
    <cacheField name="Supplier" numFmtId="0">
      <sharedItems/>
    </cacheField>
    <cacheField name="Reference" numFmtId="0">
      <sharedItems containsMixedTypes="1" containsNumber="1" containsInteger="1" minValue="1381119" maxValue="1381119"/>
    </cacheField>
    <cacheField name="Description" numFmtId="0">
      <sharedItems/>
    </cacheField>
    <cacheField name="Amount" numFmtId="0">
      <sharedItems containsSemiMixedTypes="0" containsString="0" containsNumber="1" containsInteger="1" minValue="87" maxValue="982"/>
    </cacheField>
    <cacheField name="Tax Code" numFmtId="0">
      <sharedItems/>
    </cacheField>
    <cacheField name="Bank Code" numFmtId="0">
      <sharedItems/>
    </cacheField>
    <cacheField name="Account Code" numFmtId="0">
      <sharedItems count="6">
        <s v="IS-375"/>
        <s v="IS-340"/>
        <s v="IS-380"/>
        <s v="IS-345"/>
        <s v="IS-390"/>
        <s v="IS-370"/>
      </sharedItems>
    </cacheField>
    <cacheField name="Payment Date" numFmtId="14">
      <sharedItems containsSemiMixedTypes="0" containsNonDate="0" containsDate="1" containsString="0" minDate="2011-01-04T00:00:00" maxDate="2011-12-05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d v="2011-02-03T00:00:00"/>
    <s v="Newscorp"/>
    <n v="1381119"/>
    <s v="Subscriptions"/>
    <n v="478"/>
    <s v="A"/>
    <s v="B1"/>
    <x v="0"/>
    <d v="2011-01-04T00:00:00"/>
  </r>
  <r>
    <d v="2011-05-03T00:00:00"/>
    <s v="EAG Brokers"/>
    <s v="Debit Order"/>
    <s v="Insurance"/>
    <n v="340"/>
    <s v="A"/>
    <s v="B1"/>
    <x v="1"/>
    <d v="2011-05-03T00:00:00"/>
  </r>
  <r>
    <d v="2011-01-04T00:00:00"/>
    <s v="IS Communications"/>
    <s v="Invoice EXP23"/>
    <s v="Internet Service Provider"/>
    <n v="179"/>
    <s v="A"/>
    <s v="B1"/>
    <x v="2"/>
    <d v="2011-01-05T00:00:00"/>
  </r>
  <r>
    <d v="2011-05-04T00:00:00"/>
    <s v="EAG Brokers"/>
    <s v="Debit Order"/>
    <s v="Insurance"/>
    <n v="340"/>
    <s v="A"/>
    <s v="B1"/>
    <x v="1"/>
    <d v="2011-05-04T00:00:00"/>
  </r>
  <r>
    <d v="2011-12-04T00:00:00"/>
    <s v="Interflora"/>
    <s v="Cash"/>
    <s v="Flowers"/>
    <n v="87"/>
    <s v="A"/>
    <s v="PC"/>
    <x v="3"/>
    <d v="2011-12-04T00:00:00"/>
  </r>
  <r>
    <d v="2011-05-05T00:00:00"/>
    <s v="EAG Brokers"/>
    <s v="Debit Order"/>
    <s v="Insurance"/>
    <n v="340"/>
    <s v="A"/>
    <s v="B1"/>
    <x v="1"/>
    <d v="2011-05-05T00:00:00"/>
  </r>
  <r>
    <d v="2011-07-05T00:00:00"/>
    <s v="City Lodge"/>
    <s v="S50037"/>
    <s v="Accommodation"/>
    <n v="563"/>
    <s v="A"/>
    <s v="B1"/>
    <x v="4"/>
    <d v="2011-07-05T00:00:00"/>
  </r>
  <r>
    <d v="2011-07-05T00:00:00"/>
    <s v="Waltons"/>
    <s v="Invoice"/>
    <s v="Stationery"/>
    <n v="982"/>
    <s v="A"/>
    <s v="B1"/>
    <x v="5"/>
    <d v="2011-06-06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FA4E9C-551D-4440-A87E-EAA59A9F2934}" name="PivotTable26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9">
    <pivotField numFmtId="14" showAll="0"/>
    <pivotField showAll="0"/>
    <pivotField showAll="0"/>
    <pivotField showAll="0"/>
    <pivotField dataField="1" showAll="0"/>
    <pivotField showAll="0"/>
    <pivotField showAll="0"/>
    <pivotField axis="axisRow" showAll="0">
      <items count="7">
        <item h="1" x="1"/>
        <item h="1" x="3"/>
        <item h="1" x="5"/>
        <item x="0"/>
        <item h="1" x="2"/>
        <item x="4"/>
        <item t="default"/>
      </items>
    </pivotField>
    <pivotField numFmtId="14" showAll="0"/>
  </pivotFields>
  <rowFields count="1">
    <field x="7"/>
  </rowFields>
  <rowItems count="3">
    <i>
      <x v="3"/>
    </i>
    <i>
      <x v="5"/>
    </i>
    <i t="grand">
      <x/>
    </i>
  </rowItems>
  <colItems count="1">
    <i/>
  </colItems>
  <dataFields count="1">
    <dataField name="Sum of Amoun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F8D9456-781D-4805-A2BD-D610598E8706}" autoFormatId="16" applyNumberFormats="0" applyBorderFormats="0" applyFontFormats="0" applyPatternFormats="0" applyAlignmentFormats="0" applyWidthHeightFormats="0">
  <queryTableRefresh nextId="10">
    <queryTableFields count="9">
      <queryTableField id="1" name="Document Date" tableColumnId="10"/>
      <queryTableField id="2" name="Supplier" tableColumnId="2"/>
      <queryTableField id="3" name="Reference" tableColumnId="3"/>
      <queryTableField id="4" name="Description" tableColumnId="4"/>
      <queryTableField id="5" name="Amount" tableColumnId="5"/>
      <queryTableField id="6" name="Tax Code" tableColumnId="6"/>
      <queryTableField id="7" name="Bank Code" tableColumnId="7"/>
      <queryTableField id="8" name="Account Code" tableColumnId="8"/>
      <queryTableField id="9" name="Payment Date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71A595-6A0E-42C0-BD22-245A2E37C88E}" name="Table1" displayName="Table1" ref="A1:I48" totalsRowShown="0">
  <autoFilter ref="A1:I48" xr:uid="{5F71A595-6A0E-42C0-BD22-245A2E37C88E}"/>
  <tableColumns count="9">
    <tableColumn id="1" xr3:uid="{64AF8299-3365-4EDA-A1F1-F6F98A210416}" name="Document Date"/>
    <tableColumn id="2" xr3:uid="{4DA26BDF-1897-44EE-98B1-4CC3467ED2C8}" name="Supplier"/>
    <tableColumn id="3" xr3:uid="{5308AEB0-8683-4708-A2D2-6D5AA90DCAD1}" name="Reference"/>
    <tableColumn id="4" xr3:uid="{F964EA3E-6E27-4B0F-BB15-B05C498E3E7F}" name="Description"/>
    <tableColumn id="5" xr3:uid="{575AF5FD-A754-4F2E-8328-25123BE36D1D}" name="Amount"/>
    <tableColumn id="6" xr3:uid="{E964E741-0F7C-42EF-B34A-28CB6A70DB69}" name="Tax Code"/>
    <tableColumn id="7" xr3:uid="{F8C195A9-8589-4696-9468-3B6ADD3A98F6}" name="Bank Code"/>
    <tableColumn id="8" xr3:uid="{0C0A441F-4BD2-4451-9D81-2515F05ED278}" name="Account Code"/>
    <tableColumn id="9" xr3:uid="{26FB1995-AC62-4758-8D2D-1A2150461C2F}" name="Payment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DAFEA34-A16D-4511-8D66-7E47DCA8DCD1}" name="Table8_2" displayName="Table8_2" ref="A1:I8" tableType="queryTable" totalsRowShown="0">
  <autoFilter ref="A1:I8" xr:uid="{1DAFEA34-A16D-4511-8D66-7E47DCA8DCD1}"/>
  <tableColumns count="9">
    <tableColumn id="10" xr3:uid="{DE617108-6747-4110-BA48-159BFAD32D42}" uniqueName="10" name="Document Date" queryTableFieldId="1" dataDxfId="8"/>
    <tableColumn id="2" xr3:uid="{94AAF24C-C77D-4D6B-BEB8-69E928685634}" uniqueName="2" name="Supplier" queryTableFieldId="2" dataDxfId="7"/>
    <tableColumn id="3" xr3:uid="{754CB524-FF4C-4C03-907E-A1E4165B8E87}" uniqueName="3" name="Reference" queryTableFieldId="3" dataDxfId="6"/>
    <tableColumn id="4" xr3:uid="{DB5A997B-EDD3-4B09-B4A3-57142E9CFEF8}" uniqueName="4" name="Description" queryTableFieldId="4" dataDxfId="5"/>
    <tableColumn id="5" xr3:uid="{876E4B1E-BAD3-4E0D-B393-00BB338817AF}" uniqueName="5" name="Amount" queryTableFieldId="5" dataDxfId="4"/>
    <tableColumn id="6" xr3:uid="{CF90769A-572A-450B-8210-A822302E1343}" uniqueName="6" name="Tax Code" queryTableFieldId="6" dataDxfId="3"/>
    <tableColumn id="7" xr3:uid="{94AD4858-9EE4-45C8-AEE1-30A5246434AC}" uniqueName="7" name="Bank Code" queryTableFieldId="7" dataDxfId="2"/>
    <tableColumn id="8" xr3:uid="{EEC36913-F980-47D0-A446-EF9910281C08}" uniqueName="8" name="Account Code" queryTableFieldId="8" dataDxfId="1"/>
    <tableColumn id="9" xr3:uid="{1C8FDA0F-DE46-4F00-885E-4655EC297A77}" uniqueName="9" name="Payment Date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ECD8F-5372-48D9-B470-0880BD3FAA9A}">
  <dimension ref="A1:I48"/>
  <sheetViews>
    <sheetView topLeftCell="A23" workbookViewId="0">
      <selection activeCell="A23" sqref="A1:I48"/>
    </sheetView>
  </sheetViews>
  <sheetFormatPr defaultRowHeight="15" x14ac:dyDescent="0.25"/>
  <cols>
    <col min="1" max="1" width="14.85546875" bestFit="1" customWidth="1"/>
    <col min="2" max="2" width="18.140625" bestFit="1" customWidth="1"/>
    <col min="3" max="3" width="15.140625" bestFit="1" customWidth="1"/>
    <col min="4" max="4" width="25.5703125" bestFit="1" customWidth="1"/>
    <col min="9" max="9" width="13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5100</v>
      </c>
      <c r="F2" t="s">
        <v>13</v>
      </c>
      <c r="G2" t="s">
        <v>14</v>
      </c>
      <c r="H2" t="s">
        <v>15</v>
      </c>
      <c r="I2" s="1">
        <v>40577</v>
      </c>
    </row>
    <row r="3" spans="1:9" x14ac:dyDescent="0.25">
      <c r="A3" s="1">
        <v>40546</v>
      </c>
      <c r="B3" t="s">
        <v>16</v>
      </c>
      <c r="C3" t="s">
        <v>17</v>
      </c>
      <c r="D3" t="s">
        <v>18</v>
      </c>
      <c r="E3">
        <v>179</v>
      </c>
      <c r="F3" t="s">
        <v>13</v>
      </c>
      <c r="G3" t="s">
        <v>14</v>
      </c>
      <c r="H3" t="s">
        <v>19</v>
      </c>
      <c r="I3" t="s">
        <v>20</v>
      </c>
    </row>
    <row r="4" spans="1:9" x14ac:dyDescent="0.25">
      <c r="A4" s="1">
        <v>40577</v>
      </c>
      <c r="B4" t="s">
        <v>21</v>
      </c>
      <c r="C4">
        <v>1381119</v>
      </c>
      <c r="D4" t="s">
        <v>22</v>
      </c>
      <c r="E4">
        <v>478</v>
      </c>
      <c r="F4" t="s">
        <v>13</v>
      </c>
      <c r="G4" t="s">
        <v>14</v>
      </c>
      <c r="H4" t="s">
        <v>23</v>
      </c>
      <c r="I4" s="1">
        <v>40547</v>
      </c>
    </row>
    <row r="5" spans="1:9" x14ac:dyDescent="0.25">
      <c r="A5" s="1">
        <v>40666</v>
      </c>
      <c r="B5" t="s">
        <v>24</v>
      </c>
      <c r="C5" t="s">
        <v>25</v>
      </c>
      <c r="D5" t="s">
        <v>26</v>
      </c>
      <c r="E5">
        <v>340</v>
      </c>
      <c r="F5" t="s">
        <v>13</v>
      </c>
      <c r="G5" t="s">
        <v>14</v>
      </c>
      <c r="H5" t="s">
        <v>27</v>
      </c>
      <c r="I5" s="1">
        <v>40666</v>
      </c>
    </row>
    <row r="6" spans="1:9" x14ac:dyDescent="0.25">
      <c r="A6" t="s">
        <v>28</v>
      </c>
      <c r="B6" t="s">
        <v>29</v>
      </c>
      <c r="C6" t="s">
        <v>30</v>
      </c>
      <c r="D6" t="s">
        <v>31</v>
      </c>
      <c r="E6">
        <v>50</v>
      </c>
      <c r="F6" t="s">
        <v>13</v>
      </c>
      <c r="G6" t="s">
        <v>14</v>
      </c>
      <c r="H6" t="s">
        <v>32</v>
      </c>
      <c r="I6" t="s">
        <v>28</v>
      </c>
    </row>
    <row r="7" spans="1:9" x14ac:dyDescent="0.25">
      <c r="A7" t="s">
        <v>28</v>
      </c>
      <c r="B7" t="s">
        <v>29</v>
      </c>
      <c r="C7" t="s">
        <v>30</v>
      </c>
      <c r="D7" t="s">
        <v>31</v>
      </c>
      <c r="E7">
        <v>35</v>
      </c>
      <c r="F7" t="s">
        <v>13</v>
      </c>
      <c r="G7" t="s">
        <v>33</v>
      </c>
      <c r="H7" t="s">
        <v>32</v>
      </c>
      <c r="I7" t="s">
        <v>28</v>
      </c>
    </row>
    <row r="8" spans="1:9" x14ac:dyDescent="0.25">
      <c r="A8" t="s">
        <v>28</v>
      </c>
      <c r="B8" t="s">
        <v>34</v>
      </c>
      <c r="C8" t="s">
        <v>35</v>
      </c>
      <c r="D8" t="s">
        <v>36</v>
      </c>
      <c r="E8">
        <v>1000</v>
      </c>
      <c r="F8" t="s">
        <v>13</v>
      </c>
      <c r="G8" t="s">
        <v>14</v>
      </c>
      <c r="H8" t="s">
        <v>37</v>
      </c>
      <c r="I8" s="1">
        <v>40578</v>
      </c>
    </row>
    <row r="9" spans="1:9" x14ac:dyDescent="0.25">
      <c r="A9" t="s">
        <v>28</v>
      </c>
      <c r="B9" t="s">
        <v>38</v>
      </c>
      <c r="C9" t="s">
        <v>39</v>
      </c>
      <c r="D9" t="s">
        <v>40</v>
      </c>
      <c r="E9">
        <v>90</v>
      </c>
      <c r="F9" t="s">
        <v>13</v>
      </c>
      <c r="G9" t="s">
        <v>41</v>
      </c>
      <c r="H9" t="s">
        <v>42</v>
      </c>
      <c r="I9" t="s">
        <v>28</v>
      </c>
    </row>
    <row r="10" spans="1:9" x14ac:dyDescent="0.25">
      <c r="A10" t="s">
        <v>43</v>
      </c>
      <c r="B10" t="s">
        <v>44</v>
      </c>
      <c r="C10" t="s">
        <v>45</v>
      </c>
      <c r="D10" t="s">
        <v>46</v>
      </c>
      <c r="E10">
        <v>200</v>
      </c>
      <c r="F10" t="s">
        <v>13</v>
      </c>
      <c r="G10" t="s">
        <v>14</v>
      </c>
      <c r="H10" t="s">
        <v>47</v>
      </c>
      <c r="I10" t="s">
        <v>43</v>
      </c>
    </row>
    <row r="11" spans="1:9" x14ac:dyDescent="0.25">
      <c r="A11" t="s">
        <v>48</v>
      </c>
      <c r="B11" t="s">
        <v>49</v>
      </c>
      <c r="C11" t="s">
        <v>50</v>
      </c>
      <c r="D11" t="s">
        <v>51</v>
      </c>
      <c r="E11">
        <v>-15000</v>
      </c>
      <c r="F11" t="s">
        <v>52</v>
      </c>
      <c r="G11" t="s">
        <v>33</v>
      </c>
      <c r="H11" t="s">
        <v>53</v>
      </c>
      <c r="I11" t="s">
        <v>48</v>
      </c>
    </row>
    <row r="12" spans="1:9" x14ac:dyDescent="0.25">
      <c r="A12" t="s">
        <v>48</v>
      </c>
      <c r="B12" t="s">
        <v>49</v>
      </c>
      <c r="C12" t="s">
        <v>50</v>
      </c>
      <c r="D12" t="s">
        <v>51</v>
      </c>
      <c r="E12">
        <v>15000</v>
      </c>
      <c r="F12" t="s">
        <v>52</v>
      </c>
      <c r="G12" t="s">
        <v>14</v>
      </c>
      <c r="H12" t="s">
        <v>53</v>
      </c>
      <c r="I12" t="s">
        <v>48</v>
      </c>
    </row>
    <row r="13" spans="1:9" x14ac:dyDescent="0.25">
      <c r="A13" t="s">
        <v>54</v>
      </c>
      <c r="B13" t="s">
        <v>49</v>
      </c>
      <c r="C13" t="s">
        <v>55</v>
      </c>
      <c r="D13" t="s">
        <v>56</v>
      </c>
      <c r="E13">
        <v>13000</v>
      </c>
      <c r="F13" t="s">
        <v>52</v>
      </c>
      <c r="G13" t="s">
        <v>33</v>
      </c>
      <c r="H13" t="s">
        <v>57</v>
      </c>
      <c r="I13" t="s">
        <v>54</v>
      </c>
    </row>
    <row r="14" spans="1:9" x14ac:dyDescent="0.25">
      <c r="A14" t="s">
        <v>54</v>
      </c>
      <c r="B14" t="s">
        <v>58</v>
      </c>
      <c r="C14" t="s">
        <v>25</v>
      </c>
      <c r="D14" t="s">
        <v>59</v>
      </c>
      <c r="E14">
        <v>220</v>
      </c>
      <c r="F14" t="s">
        <v>52</v>
      </c>
      <c r="G14" t="s">
        <v>14</v>
      </c>
      <c r="H14" t="s">
        <v>60</v>
      </c>
      <c r="I14" t="s">
        <v>54</v>
      </c>
    </row>
    <row r="15" spans="1:9" x14ac:dyDescent="0.25">
      <c r="A15" t="s">
        <v>54</v>
      </c>
      <c r="B15" t="s">
        <v>58</v>
      </c>
      <c r="C15" t="s">
        <v>25</v>
      </c>
      <c r="D15" t="s">
        <v>61</v>
      </c>
      <c r="E15">
        <v>100</v>
      </c>
      <c r="F15" t="s">
        <v>52</v>
      </c>
      <c r="G15" t="s">
        <v>14</v>
      </c>
      <c r="H15" t="s">
        <v>62</v>
      </c>
      <c r="I15" t="s">
        <v>54</v>
      </c>
    </row>
    <row r="16" spans="1:9" x14ac:dyDescent="0.25">
      <c r="A16" t="s">
        <v>54</v>
      </c>
      <c r="B16" t="s">
        <v>63</v>
      </c>
      <c r="C16" t="s">
        <v>25</v>
      </c>
      <c r="D16" t="s">
        <v>64</v>
      </c>
      <c r="E16">
        <v>6400</v>
      </c>
      <c r="F16" t="s">
        <v>13</v>
      </c>
      <c r="G16" t="s">
        <v>14</v>
      </c>
      <c r="H16" t="s">
        <v>65</v>
      </c>
      <c r="I16" t="s">
        <v>54</v>
      </c>
    </row>
    <row r="17" spans="1:9" x14ac:dyDescent="0.25">
      <c r="A17" t="s">
        <v>20</v>
      </c>
      <c r="B17" t="s">
        <v>49</v>
      </c>
      <c r="C17" t="s">
        <v>30</v>
      </c>
      <c r="D17" t="s">
        <v>66</v>
      </c>
      <c r="E17">
        <v>100</v>
      </c>
      <c r="F17" t="s">
        <v>52</v>
      </c>
      <c r="G17" t="s">
        <v>14</v>
      </c>
      <c r="H17" t="s">
        <v>53</v>
      </c>
      <c r="I17" t="s">
        <v>20</v>
      </c>
    </row>
    <row r="18" spans="1:9" x14ac:dyDescent="0.25">
      <c r="A18" t="s">
        <v>20</v>
      </c>
      <c r="B18" t="s">
        <v>49</v>
      </c>
      <c r="C18" t="s">
        <v>30</v>
      </c>
      <c r="D18" t="s">
        <v>66</v>
      </c>
      <c r="E18">
        <v>-100</v>
      </c>
      <c r="F18" t="s">
        <v>52</v>
      </c>
      <c r="G18" t="s">
        <v>41</v>
      </c>
      <c r="H18" t="s">
        <v>53</v>
      </c>
      <c r="I18" t="s">
        <v>20</v>
      </c>
    </row>
    <row r="19" spans="1:9" x14ac:dyDescent="0.25">
      <c r="A19" s="1">
        <v>40547</v>
      </c>
      <c r="B19" t="s">
        <v>16</v>
      </c>
      <c r="C19" t="s">
        <v>67</v>
      </c>
      <c r="D19" t="s">
        <v>18</v>
      </c>
      <c r="E19">
        <v>179</v>
      </c>
      <c r="F19" t="s">
        <v>13</v>
      </c>
      <c r="G19" t="s">
        <v>14</v>
      </c>
      <c r="H19" t="s">
        <v>19</v>
      </c>
      <c r="I19" s="1">
        <v>40548</v>
      </c>
    </row>
    <row r="20" spans="1:9" x14ac:dyDescent="0.25">
      <c r="A20" s="1">
        <v>40667</v>
      </c>
      <c r="B20" t="s">
        <v>24</v>
      </c>
      <c r="C20" t="s">
        <v>25</v>
      </c>
      <c r="D20" t="s">
        <v>26</v>
      </c>
      <c r="E20">
        <v>340</v>
      </c>
      <c r="F20" t="s">
        <v>13</v>
      </c>
      <c r="G20" t="s">
        <v>14</v>
      </c>
      <c r="H20" t="s">
        <v>27</v>
      </c>
      <c r="I20" s="1">
        <v>40667</v>
      </c>
    </row>
    <row r="21" spans="1:9" x14ac:dyDescent="0.25">
      <c r="A21" s="1">
        <v>40881</v>
      </c>
      <c r="B21" t="s">
        <v>38</v>
      </c>
      <c r="C21" t="s">
        <v>39</v>
      </c>
      <c r="D21" t="s">
        <v>40</v>
      </c>
      <c r="E21">
        <v>87</v>
      </c>
      <c r="F21" t="s">
        <v>13</v>
      </c>
      <c r="G21" t="s">
        <v>41</v>
      </c>
      <c r="H21" t="s">
        <v>42</v>
      </c>
      <c r="I21" s="1">
        <v>40881</v>
      </c>
    </row>
    <row r="22" spans="1:9" x14ac:dyDescent="0.25">
      <c r="A22" t="s">
        <v>68</v>
      </c>
      <c r="B22" t="s">
        <v>29</v>
      </c>
      <c r="C22" t="s">
        <v>30</v>
      </c>
      <c r="D22" t="s">
        <v>31</v>
      </c>
      <c r="E22">
        <v>80</v>
      </c>
      <c r="F22" t="s">
        <v>13</v>
      </c>
      <c r="G22" t="s">
        <v>14</v>
      </c>
      <c r="H22" t="s">
        <v>32</v>
      </c>
      <c r="I22" t="s">
        <v>68</v>
      </c>
    </row>
    <row r="23" spans="1:9" x14ac:dyDescent="0.25">
      <c r="A23" t="s">
        <v>68</v>
      </c>
      <c r="B23" t="s">
        <v>29</v>
      </c>
      <c r="C23" t="s">
        <v>30</v>
      </c>
      <c r="D23" t="s">
        <v>31</v>
      </c>
      <c r="E23">
        <v>35</v>
      </c>
      <c r="F23" t="s">
        <v>13</v>
      </c>
      <c r="G23" t="s">
        <v>33</v>
      </c>
      <c r="H23" t="s">
        <v>32</v>
      </c>
      <c r="I23" t="s">
        <v>68</v>
      </c>
    </row>
    <row r="24" spans="1:9" x14ac:dyDescent="0.25">
      <c r="A24" t="s">
        <v>68</v>
      </c>
      <c r="B24" t="s">
        <v>34</v>
      </c>
      <c r="C24" t="s">
        <v>35</v>
      </c>
      <c r="D24" t="s">
        <v>36</v>
      </c>
      <c r="E24">
        <v>1000</v>
      </c>
      <c r="F24" t="s">
        <v>13</v>
      </c>
      <c r="G24" t="s">
        <v>14</v>
      </c>
      <c r="H24" t="s">
        <v>37</v>
      </c>
      <c r="I24" s="1">
        <v>40607</v>
      </c>
    </row>
    <row r="25" spans="1:9" x14ac:dyDescent="0.25">
      <c r="A25" t="s">
        <v>69</v>
      </c>
      <c r="B25" t="s">
        <v>49</v>
      </c>
      <c r="C25" t="s">
        <v>50</v>
      </c>
      <c r="D25" t="s">
        <v>51</v>
      </c>
      <c r="E25">
        <v>-20000</v>
      </c>
      <c r="F25" t="s">
        <v>52</v>
      </c>
      <c r="G25" t="s">
        <v>33</v>
      </c>
      <c r="H25" t="s">
        <v>53</v>
      </c>
      <c r="I25" t="s">
        <v>69</v>
      </c>
    </row>
    <row r="26" spans="1:9" x14ac:dyDescent="0.25">
      <c r="A26" t="s">
        <v>69</v>
      </c>
      <c r="B26" t="s">
        <v>49</v>
      </c>
      <c r="C26" t="s">
        <v>50</v>
      </c>
      <c r="D26" t="s">
        <v>51</v>
      </c>
      <c r="E26">
        <v>20000</v>
      </c>
      <c r="F26" t="s">
        <v>52</v>
      </c>
      <c r="G26" t="s">
        <v>14</v>
      </c>
      <c r="H26" t="s">
        <v>53</v>
      </c>
      <c r="I26" t="s">
        <v>69</v>
      </c>
    </row>
    <row r="27" spans="1:9" x14ac:dyDescent="0.25">
      <c r="A27" t="s">
        <v>70</v>
      </c>
      <c r="B27" t="s">
        <v>71</v>
      </c>
      <c r="C27" t="s">
        <v>72</v>
      </c>
      <c r="D27" t="s">
        <v>73</v>
      </c>
      <c r="E27">
        <v>1300</v>
      </c>
      <c r="F27" t="s">
        <v>52</v>
      </c>
      <c r="G27" t="s">
        <v>14</v>
      </c>
      <c r="H27" t="s">
        <v>74</v>
      </c>
      <c r="I27" t="s">
        <v>70</v>
      </c>
    </row>
    <row r="28" spans="1:9" x14ac:dyDescent="0.25">
      <c r="A28" t="s">
        <v>75</v>
      </c>
      <c r="B28" t="s">
        <v>49</v>
      </c>
      <c r="C28" t="s">
        <v>55</v>
      </c>
      <c r="D28" t="s">
        <v>56</v>
      </c>
      <c r="E28">
        <v>20000</v>
      </c>
      <c r="F28" t="s">
        <v>52</v>
      </c>
      <c r="G28" t="s">
        <v>33</v>
      </c>
      <c r="H28" t="s">
        <v>57</v>
      </c>
      <c r="I28" t="s">
        <v>75</v>
      </c>
    </row>
    <row r="29" spans="1:9" x14ac:dyDescent="0.25">
      <c r="A29" t="s">
        <v>75</v>
      </c>
      <c r="B29" t="s">
        <v>76</v>
      </c>
      <c r="C29" t="s">
        <v>35</v>
      </c>
      <c r="D29" t="s">
        <v>77</v>
      </c>
      <c r="E29">
        <v>3000</v>
      </c>
      <c r="F29" t="s">
        <v>13</v>
      </c>
      <c r="G29" t="s">
        <v>14</v>
      </c>
      <c r="H29" t="s">
        <v>78</v>
      </c>
      <c r="I29" t="s">
        <v>79</v>
      </c>
    </row>
    <row r="30" spans="1:9" x14ac:dyDescent="0.25">
      <c r="A30" t="s">
        <v>75</v>
      </c>
      <c r="B30" t="s">
        <v>58</v>
      </c>
      <c r="C30" t="s">
        <v>25</v>
      </c>
      <c r="D30" t="s">
        <v>59</v>
      </c>
      <c r="E30">
        <v>220</v>
      </c>
      <c r="F30" t="s">
        <v>52</v>
      </c>
      <c r="G30" t="s">
        <v>14</v>
      </c>
      <c r="H30" t="s">
        <v>60</v>
      </c>
      <c r="I30" t="s">
        <v>75</v>
      </c>
    </row>
    <row r="31" spans="1:9" x14ac:dyDescent="0.25">
      <c r="A31" t="s">
        <v>75</v>
      </c>
      <c r="B31" t="s">
        <v>58</v>
      </c>
      <c r="C31" t="s">
        <v>25</v>
      </c>
      <c r="D31" t="s">
        <v>61</v>
      </c>
      <c r="E31">
        <v>100</v>
      </c>
      <c r="F31" t="s">
        <v>52</v>
      </c>
      <c r="G31" t="s">
        <v>14</v>
      </c>
      <c r="H31" t="s">
        <v>62</v>
      </c>
      <c r="I31" t="s">
        <v>75</v>
      </c>
    </row>
    <row r="32" spans="1:9" x14ac:dyDescent="0.25">
      <c r="A32" t="s">
        <v>75</v>
      </c>
      <c r="B32" t="s">
        <v>63</v>
      </c>
      <c r="C32" t="s">
        <v>25</v>
      </c>
      <c r="D32" t="s">
        <v>64</v>
      </c>
      <c r="E32">
        <v>6400</v>
      </c>
      <c r="F32" t="s">
        <v>13</v>
      </c>
      <c r="G32" t="s">
        <v>14</v>
      </c>
      <c r="H32" t="s">
        <v>65</v>
      </c>
      <c r="I32" t="s">
        <v>75</v>
      </c>
    </row>
    <row r="33" spans="1:9" x14ac:dyDescent="0.25">
      <c r="A33" t="s">
        <v>80</v>
      </c>
      <c r="B33" t="s">
        <v>81</v>
      </c>
      <c r="C33" t="s">
        <v>82</v>
      </c>
      <c r="D33" t="s">
        <v>83</v>
      </c>
      <c r="E33">
        <v>41</v>
      </c>
      <c r="F33" t="s">
        <v>13</v>
      </c>
      <c r="G33" t="s">
        <v>41</v>
      </c>
      <c r="H33" t="s">
        <v>84</v>
      </c>
      <c r="I33" t="s">
        <v>85</v>
      </c>
    </row>
    <row r="34" spans="1:9" x14ac:dyDescent="0.25">
      <c r="A34" t="s">
        <v>86</v>
      </c>
      <c r="B34" t="s">
        <v>49</v>
      </c>
      <c r="C34" t="s">
        <v>30</v>
      </c>
      <c r="D34" t="s">
        <v>66</v>
      </c>
      <c r="E34">
        <v>100</v>
      </c>
      <c r="F34" t="s">
        <v>52</v>
      </c>
      <c r="G34" t="s">
        <v>14</v>
      </c>
      <c r="H34" t="s">
        <v>53</v>
      </c>
      <c r="I34" t="s">
        <v>86</v>
      </c>
    </row>
    <row r="35" spans="1:9" x14ac:dyDescent="0.25">
      <c r="A35" t="s">
        <v>86</v>
      </c>
      <c r="B35" t="s">
        <v>49</v>
      </c>
      <c r="C35" t="s">
        <v>30</v>
      </c>
      <c r="D35" t="s">
        <v>66</v>
      </c>
      <c r="E35">
        <v>-100</v>
      </c>
      <c r="F35" t="s">
        <v>52</v>
      </c>
      <c r="G35" t="s">
        <v>41</v>
      </c>
      <c r="H35" t="s">
        <v>53</v>
      </c>
      <c r="I35" t="s">
        <v>86</v>
      </c>
    </row>
    <row r="36" spans="1:9" x14ac:dyDescent="0.25">
      <c r="A36" s="1">
        <v>40548</v>
      </c>
      <c r="B36" t="s">
        <v>16</v>
      </c>
      <c r="C36" t="s">
        <v>87</v>
      </c>
      <c r="D36" t="s">
        <v>18</v>
      </c>
      <c r="E36">
        <v>179</v>
      </c>
      <c r="F36" t="s">
        <v>13</v>
      </c>
      <c r="G36" t="s">
        <v>14</v>
      </c>
      <c r="H36" t="s">
        <v>19</v>
      </c>
      <c r="I36" t="s">
        <v>88</v>
      </c>
    </row>
    <row r="37" spans="1:9" x14ac:dyDescent="0.25">
      <c r="A37" s="1">
        <v>40548</v>
      </c>
      <c r="B37" t="s">
        <v>89</v>
      </c>
      <c r="C37" t="s">
        <v>35</v>
      </c>
      <c r="D37" t="s">
        <v>90</v>
      </c>
      <c r="E37">
        <v>220</v>
      </c>
      <c r="F37" t="s">
        <v>13</v>
      </c>
      <c r="G37" t="s">
        <v>14</v>
      </c>
      <c r="H37" t="s">
        <v>91</v>
      </c>
      <c r="I37" t="s">
        <v>88</v>
      </c>
    </row>
    <row r="38" spans="1:9" x14ac:dyDescent="0.25">
      <c r="A38" s="1">
        <v>40668</v>
      </c>
      <c r="B38" t="s">
        <v>24</v>
      </c>
      <c r="C38" t="s">
        <v>25</v>
      </c>
      <c r="D38" t="s">
        <v>26</v>
      </c>
      <c r="E38">
        <v>340</v>
      </c>
      <c r="F38" t="s">
        <v>13</v>
      </c>
      <c r="G38" t="s">
        <v>14</v>
      </c>
      <c r="H38" t="s">
        <v>27</v>
      </c>
      <c r="I38" s="1">
        <v>40668</v>
      </c>
    </row>
    <row r="39" spans="1:9" x14ac:dyDescent="0.25">
      <c r="A39" s="1">
        <v>40729</v>
      </c>
      <c r="B39" t="s">
        <v>92</v>
      </c>
      <c r="C39" t="s">
        <v>93</v>
      </c>
      <c r="D39" t="s">
        <v>94</v>
      </c>
      <c r="E39">
        <v>563</v>
      </c>
      <c r="F39" t="s">
        <v>13</v>
      </c>
      <c r="G39" t="s">
        <v>14</v>
      </c>
      <c r="H39" t="s">
        <v>47</v>
      </c>
      <c r="I39" s="1">
        <v>40729</v>
      </c>
    </row>
    <row r="40" spans="1:9" x14ac:dyDescent="0.25">
      <c r="A40" s="1">
        <v>40729</v>
      </c>
      <c r="B40" t="s">
        <v>95</v>
      </c>
      <c r="C40" t="s">
        <v>35</v>
      </c>
      <c r="D40" t="s">
        <v>96</v>
      </c>
      <c r="E40">
        <v>982</v>
      </c>
      <c r="F40" t="s">
        <v>13</v>
      </c>
      <c r="G40" t="s">
        <v>14</v>
      </c>
      <c r="H40" t="s">
        <v>97</v>
      </c>
      <c r="I40" s="1">
        <v>40700</v>
      </c>
    </row>
    <row r="41" spans="1:9" x14ac:dyDescent="0.25">
      <c r="A41" t="s">
        <v>98</v>
      </c>
      <c r="B41" t="s">
        <v>29</v>
      </c>
      <c r="C41" t="s">
        <v>30</v>
      </c>
      <c r="D41" t="s">
        <v>31</v>
      </c>
      <c r="E41">
        <v>80</v>
      </c>
      <c r="F41" t="s">
        <v>13</v>
      </c>
      <c r="G41" t="s">
        <v>14</v>
      </c>
      <c r="H41" t="s">
        <v>32</v>
      </c>
      <c r="I41" t="s">
        <v>98</v>
      </c>
    </row>
    <row r="42" spans="1:9" x14ac:dyDescent="0.25">
      <c r="A42" t="s">
        <v>98</v>
      </c>
      <c r="B42" t="s">
        <v>29</v>
      </c>
      <c r="C42" t="s">
        <v>30</v>
      </c>
      <c r="D42" t="s">
        <v>31</v>
      </c>
      <c r="E42">
        <v>35</v>
      </c>
      <c r="F42" t="s">
        <v>13</v>
      </c>
      <c r="G42" t="s">
        <v>33</v>
      </c>
      <c r="H42" t="s">
        <v>32</v>
      </c>
      <c r="I42" t="s">
        <v>98</v>
      </c>
    </row>
    <row r="43" spans="1:9" x14ac:dyDescent="0.25">
      <c r="A43" t="s">
        <v>98</v>
      </c>
      <c r="B43" t="s">
        <v>34</v>
      </c>
      <c r="C43" t="s">
        <v>35</v>
      </c>
      <c r="D43" t="s">
        <v>36</v>
      </c>
      <c r="E43">
        <v>1000</v>
      </c>
      <c r="F43" t="s">
        <v>13</v>
      </c>
      <c r="G43" t="s">
        <v>14</v>
      </c>
      <c r="H43" t="s">
        <v>37</v>
      </c>
      <c r="I43" s="1">
        <v>40580</v>
      </c>
    </row>
    <row r="44" spans="1:9" x14ac:dyDescent="0.25">
      <c r="A44" t="s">
        <v>99</v>
      </c>
      <c r="B44" t="s">
        <v>49</v>
      </c>
      <c r="C44" t="s">
        <v>50</v>
      </c>
      <c r="D44" t="s">
        <v>51</v>
      </c>
      <c r="E44">
        <v>-20000</v>
      </c>
      <c r="F44" t="s">
        <v>52</v>
      </c>
      <c r="G44" t="s">
        <v>33</v>
      </c>
      <c r="H44" t="s">
        <v>53</v>
      </c>
      <c r="I44" t="s">
        <v>99</v>
      </c>
    </row>
    <row r="45" spans="1:9" x14ac:dyDescent="0.25">
      <c r="A45" t="s">
        <v>99</v>
      </c>
      <c r="B45" t="s">
        <v>49</v>
      </c>
      <c r="C45" t="s">
        <v>50</v>
      </c>
      <c r="D45" t="s">
        <v>51</v>
      </c>
      <c r="E45">
        <v>20000</v>
      </c>
      <c r="F45" t="s">
        <v>52</v>
      </c>
      <c r="G45" t="s">
        <v>14</v>
      </c>
      <c r="H45" t="s">
        <v>53</v>
      </c>
      <c r="I45" t="s">
        <v>99</v>
      </c>
    </row>
    <row r="46" spans="1:9" x14ac:dyDescent="0.25">
      <c r="A46" t="s">
        <v>79</v>
      </c>
      <c r="B46" t="s">
        <v>49</v>
      </c>
      <c r="C46" t="s">
        <v>55</v>
      </c>
      <c r="D46" t="s">
        <v>56</v>
      </c>
      <c r="E46">
        <v>20000</v>
      </c>
      <c r="F46" t="s">
        <v>52</v>
      </c>
      <c r="G46" t="s">
        <v>33</v>
      </c>
      <c r="H46" t="s">
        <v>57</v>
      </c>
      <c r="I46" t="s">
        <v>79</v>
      </c>
    </row>
    <row r="47" spans="1:9" x14ac:dyDescent="0.25">
      <c r="A47" t="s">
        <v>79</v>
      </c>
      <c r="B47" t="s">
        <v>58</v>
      </c>
      <c r="C47" t="s">
        <v>25</v>
      </c>
      <c r="D47" t="s">
        <v>59</v>
      </c>
      <c r="E47">
        <v>220</v>
      </c>
      <c r="F47" t="s">
        <v>52</v>
      </c>
      <c r="G47" t="s">
        <v>14</v>
      </c>
      <c r="H47" t="s">
        <v>60</v>
      </c>
      <c r="I47" t="s">
        <v>79</v>
      </c>
    </row>
    <row r="48" spans="1:9" x14ac:dyDescent="0.25">
      <c r="A48" t="s">
        <v>79</v>
      </c>
      <c r="B48" t="s">
        <v>58</v>
      </c>
      <c r="C48" t="s">
        <v>25</v>
      </c>
      <c r="D48" t="s">
        <v>61</v>
      </c>
      <c r="E48">
        <v>100</v>
      </c>
      <c r="F48" t="s">
        <v>52</v>
      </c>
      <c r="G48" t="s">
        <v>14</v>
      </c>
      <c r="H48" t="s">
        <v>62</v>
      </c>
      <c r="I48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B896E-2238-45D1-A3A9-B410B2295482}">
  <dimension ref="A1:I48"/>
  <sheetViews>
    <sheetView tabSelected="1" topLeftCell="B1" workbookViewId="0">
      <selection activeCell="I48" sqref="I48"/>
    </sheetView>
  </sheetViews>
  <sheetFormatPr defaultRowHeight="15" x14ac:dyDescent="0.25"/>
  <cols>
    <col min="1" max="1" width="16.85546875" customWidth="1"/>
    <col min="2" max="2" width="18.140625" bestFit="1" customWidth="1"/>
    <col min="3" max="3" width="15.140625" bestFit="1" customWidth="1"/>
    <col min="4" max="4" width="25.5703125" bestFit="1" customWidth="1"/>
    <col min="5" max="5" width="10.28515625" customWidth="1"/>
    <col min="6" max="6" width="11.140625" customWidth="1"/>
    <col min="7" max="7" width="12.42578125" customWidth="1"/>
    <col min="8" max="8" width="15.28515625" customWidth="1"/>
    <col min="9" max="9" width="15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100</v>
      </c>
      <c r="B2" t="s">
        <v>10</v>
      </c>
      <c r="C2" t="s">
        <v>11</v>
      </c>
      <c r="D2" t="s">
        <v>12</v>
      </c>
      <c r="E2">
        <v>5100</v>
      </c>
      <c r="F2" t="s">
        <v>13</v>
      </c>
      <c r="G2" t="s">
        <v>14</v>
      </c>
      <c r="H2" t="s">
        <v>15</v>
      </c>
      <c r="I2" s="1">
        <v>40577</v>
      </c>
    </row>
    <row r="3" spans="1:9" x14ac:dyDescent="0.25">
      <c r="A3" s="1">
        <v>40546</v>
      </c>
      <c r="B3" t="s">
        <v>16</v>
      </c>
      <c r="C3" t="s">
        <v>17</v>
      </c>
      <c r="D3" t="s">
        <v>18</v>
      </c>
      <c r="E3">
        <v>179</v>
      </c>
      <c r="F3" t="s">
        <v>13</v>
      </c>
      <c r="G3" t="s">
        <v>14</v>
      </c>
      <c r="H3" t="s">
        <v>19</v>
      </c>
      <c r="I3" t="s">
        <v>123</v>
      </c>
    </row>
    <row r="4" spans="1:9" x14ac:dyDescent="0.25">
      <c r="A4" s="1">
        <v>40577</v>
      </c>
      <c r="B4" t="s">
        <v>21</v>
      </c>
      <c r="C4">
        <v>1381119</v>
      </c>
      <c r="D4" t="s">
        <v>22</v>
      </c>
      <c r="E4">
        <v>478</v>
      </c>
      <c r="F4" t="s">
        <v>13</v>
      </c>
      <c r="G4" t="s">
        <v>14</v>
      </c>
      <c r="H4" t="s">
        <v>23</v>
      </c>
      <c r="I4" s="1">
        <v>40547</v>
      </c>
    </row>
    <row r="5" spans="1:9" x14ac:dyDescent="0.25">
      <c r="A5" s="1">
        <v>40666</v>
      </c>
      <c r="B5" t="s">
        <v>24</v>
      </c>
      <c r="C5" t="s">
        <v>25</v>
      </c>
      <c r="D5" t="s">
        <v>26</v>
      </c>
      <c r="E5">
        <v>340</v>
      </c>
      <c r="F5" t="s">
        <v>13</v>
      </c>
      <c r="G5" t="s">
        <v>14</v>
      </c>
      <c r="H5" t="s">
        <v>27</v>
      </c>
      <c r="I5" s="1">
        <v>40666</v>
      </c>
    </row>
    <row r="6" spans="1:9" x14ac:dyDescent="0.25">
      <c r="A6" t="s">
        <v>101</v>
      </c>
      <c r="B6" t="s">
        <v>29</v>
      </c>
      <c r="C6" t="s">
        <v>30</v>
      </c>
      <c r="D6" t="s">
        <v>31</v>
      </c>
      <c r="E6">
        <v>50</v>
      </c>
      <c r="F6" t="s">
        <v>13</v>
      </c>
      <c r="G6" t="s">
        <v>14</v>
      </c>
      <c r="H6" t="s">
        <v>32</v>
      </c>
      <c r="I6" t="s">
        <v>124</v>
      </c>
    </row>
    <row r="7" spans="1:9" x14ac:dyDescent="0.25">
      <c r="A7" t="s">
        <v>101</v>
      </c>
      <c r="B7" t="s">
        <v>29</v>
      </c>
      <c r="C7" t="s">
        <v>30</v>
      </c>
      <c r="D7" t="s">
        <v>31</v>
      </c>
      <c r="E7">
        <v>35</v>
      </c>
      <c r="F7" t="s">
        <v>13</v>
      </c>
      <c r="G7" t="s">
        <v>33</v>
      </c>
      <c r="H7" t="s">
        <v>32</v>
      </c>
      <c r="I7" t="s">
        <v>124</v>
      </c>
    </row>
    <row r="8" spans="1:9" x14ac:dyDescent="0.25">
      <c r="A8" t="s">
        <v>102</v>
      </c>
      <c r="B8" t="s">
        <v>34</v>
      </c>
      <c r="C8" t="s">
        <v>35</v>
      </c>
      <c r="D8" t="s">
        <v>36</v>
      </c>
      <c r="E8">
        <v>1000</v>
      </c>
      <c r="F8" t="s">
        <v>13</v>
      </c>
      <c r="G8" t="s">
        <v>14</v>
      </c>
      <c r="H8" t="s">
        <v>37</v>
      </c>
      <c r="I8" s="1">
        <v>40578</v>
      </c>
    </row>
    <row r="9" spans="1:9" x14ac:dyDescent="0.25">
      <c r="A9" t="s">
        <v>102</v>
      </c>
      <c r="B9" t="s">
        <v>38</v>
      </c>
      <c r="C9" t="s">
        <v>39</v>
      </c>
      <c r="D9" t="s">
        <v>40</v>
      </c>
      <c r="E9">
        <v>90</v>
      </c>
      <c r="F9" t="s">
        <v>13</v>
      </c>
      <c r="G9" t="s">
        <v>41</v>
      </c>
      <c r="H9" t="s">
        <v>42</v>
      </c>
      <c r="I9" t="s">
        <v>124</v>
      </c>
    </row>
    <row r="10" spans="1:9" x14ac:dyDescent="0.25">
      <c r="A10" t="s">
        <v>103</v>
      </c>
      <c r="B10" t="s">
        <v>44</v>
      </c>
      <c r="C10" t="s">
        <v>45</v>
      </c>
      <c r="D10" t="s">
        <v>46</v>
      </c>
      <c r="E10">
        <v>200</v>
      </c>
      <c r="F10" t="s">
        <v>13</v>
      </c>
      <c r="G10" t="s">
        <v>14</v>
      </c>
      <c r="H10" t="s">
        <v>47</v>
      </c>
      <c r="I10" t="s">
        <v>125</v>
      </c>
    </row>
    <row r="11" spans="1:9" x14ac:dyDescent="0.25">
      <c r="A11" t="s">
        <v>104</v>
      </c>
      <c r="B11" t="s">
        <v>49</v>
      </c>
      <c r="C11" t="s">
        <v>50</v>
      </c>
      <c r="D11" t="s">
        <v>51</v>
      </c>
      <c r="E11">
        <v>-15000</v>
      </c>
      <c r="F11" t="s">
        <v>52</v>
      </c>
      <c r="G11" t="s">
        <v>33</v>
      </c>
      <c r="H11" t="s">
        <v>53</v>
      </c>
      <c r="I11" t="s">
        <v>126</v>
      </c>
    </row>
    <row r="12" spans="1:9" x14ac:dyDescent="0.25">
      <c r="A12" t="s">
        <v>105</v>
      </c>
      <c r="B12" t="s">
        <v>49</v>
      </c>
      <c r="C12" t="s">
        <v>50</v>
      </c>
      <c r="D12" t="s">
        <v>51</v>
      </c>
      <c r="E12">
        <v>15000</v>
      </c>
      <c r="F12" t="s">
        <v>52</v>
      </c>
      <c r="G12" t="s">
        <v>14</v>
      </c>
      <c r="H12" t="s">
        <v>53</v>
      </c>
      <c r="I12" t="s">
        <v>127</v>
      </c>
    </row>
    <row r="13" spans="1:9" x14ac:dyDescent="0.25">
      <c r="A13" t="s">
        <v>106</v>
      </c>
      <c r="B13" t="s">
        <v>49</v>
      </c>
      <c r="C13" t="s">
        <v>55</v>
      </c>
      <c r="D13" t="s">
        <v>56</v>
      </c>
      <c r="E13">
        <v>13000</v>
      </c>
      <c r="F13" t="s">
        <v>52</v>
      </c>
      <c r="G13" t="s">
        <v>33</v>
      </c>
      <c r="H13" t="s">
        <v>57</v>
      </c>
      <c r="I13" t="s">
        <v>128</v>
      </c>
    </row>
    <row r="14" spans="1:9" x14ac:dyDescent="0.25">
      <c r="A14" t="s">
        <v>106</v>
      </c>
      <c r="B14" t="s">
        <v>58</v>
      </c>
      <c r="C14" t="s">
        <v>25</v>
      </c>
      <c r="D14" t="s">
        <v>59</v>
      </c>
      <c r="E14">
        <v>220</v>
      </c>
      <c r="F14" t="s">
        <v>52</v>
      </c>
      <c r="G14" t="s">
        <v>14</v>
      </c>
      <c r="H14" t="s">
        <v>60</v>
      </c>
      <c r="I14" t="s">
        <v>129</v>
      </c>
    </row>
    <row r="15" spans="1:9" x14ac:dyDescent="0.25">
      <c r="A15" t="s">
        <v>106</v>
      </c>
      <c r="B15" t="s">
        <v>58</v>
      </c>
      <c r="C15" t="s">
        <v>25</v>
      </c>
      <c r="D15" t="s">
        <v>61</v>
      </c>
      <c r="E15">
        <v>100</v>
      </c>
      <c r="F15" t="s">
        <v>52</v>
      </c>
      <c r="G15" t="s">
        <v>14</v>
      </c>
      <c r="H15" t="s">
        <v>62</v>
      </c>
      <c r="I15" t="s">
        <v>128</v>
      </c>
    </row>
    <row r="16" spans="1:9" x14ac:dyDescent="0.25">
      <c r="A16" t="s">
        <v>107</v>
      </c>
      <c r="B16" t="s">
        <v>63</v>
      </c>
      <c r="C16" t="s">
        <v>25</v>
      </c>
      <c r="D16" t="s">
        <v>64</v>
      </c>
      <c r="E16">
        <v>6400</v>
      </c>
      <c r="F16" t="s">
        <v>13</v>
      </c>
      <c r="G16" t="s">
        <v>14</v>
      </c>
      <c r="H16" t="s">
        <v>65</v>
      </c>
      <c r="I16" t="s">
        <v>128</v>
      </c>
    </row>
    <row r="17" spans="1:9" x14ac:dyDescent="0.25">
      <c r="A17" t="s">
        <v>108</v>
      </c>
      <c r="B17" t="s">
        <v>49</v>
      </c>
      <c r="C17" t="s">
        <v>30</v>
      </c>
      <c r="D17" t="s">
        <v>66</v>
      </c>
      <c r="E17">
        <v>100</v>
      </c>
      <c r="F17" t="s">
        <v>52</v>
      </c>
      <c r="G17" t="s">
        <v>14</v>
      </c>
      <c r="H17" t="s">
        <v>53</v>
      </c>
      <c r="I17" t="s">
        <v>130</v>
      </c>
    </row>
    <row r="18" spans="1:9" x14ac:dyDescent="0.25">
      <c r="A18" t="s">
        <v>108</v>
      </c>
      <c r="B18" t="s">
        <v>49</v>
      </c>
      <c r="C18" t="s">
        <v>30</v>
      </c>
      <c r="D18" t="s">
        <v>66</v>
      </c>
      <c r="E18">
        <v>-100</v>
      </c>
      <c r="F18" t="s">
        <v>52</v>
      </c>
      <c r="G18" t="s">
        <v>41</v>
      </c>
      <c r="H18" t="s">
        <v>53</v>
      </c>
      <c r="I18" t="s">
        <v>123</v>
      </c>
    </row>
    <row r="19" spans="1:9" x14ac:dyDescent="0.25">
      <c r="A19" s="1">
        <v>40547</v>
      </c>
      <c r="B19" t="s">
        <v>16</v>
      </c>
      <c r="C19" t="s">
        <v>67</v>
      </c>
      <c r="D19" t="s">
        <v>18</v>
      </c>
      <c r="E19">
        <v>179</v>
      </c>
      <c r="F19" t="s">
        <v>13</v>
      </c>
      <c r="G19" t="s">
        <v>14</v>
      </c>
      <c r="H19" t="s">
        <v>19</v>
      </c>
      <c r="I19" s="1">
        <v>40548</v>
      </c>
    </row>
    <row r="20" spans="1:9" x14ac:dyDescent="0.25">
      <c r="A20" s="1">
        <v>40667</v>
      </c>
      <c r="B20" t="s">
        <v>24</v>
      </c>
      <c r="C20" t="s">
        <v>25</v>
      </c>
      <c r="D20" t="s">
        <v>26</v>
      </c>
      <c r="E20">
        <v>340</v>
      </c>
      <c r="F20" t="s">
        <v>13</v>
      </c>
      <c r="G20" t="s">
        <v>14</v>
      </c>
      <c r="H20" t="s">
        <v>27</v>
      </c>
      <c r="I20" s="1">
        <v>40667</v>
      </c>
    </row>
    <row r="21" spans="1:9" x14ac:dyDescent="0.25">
      <c r="A21" s="1">
        <v>40881</v>
      </c>
      <c r="B21" t="s">
        <v>38</v>
      </c>
      <c r="C21" t="s">
        <v>39</v>
      </c>
      <c r="D21" t="s">
        <v>40</v>
      </c>
      <c r="E21">
        <v>87</v>
      </c>
      <c r="F21" t="s">
        <v>13</v>
      </c>
      <c r="G21" t="s">
        <v>41</v>
      </c>
      <c r="H21" t="s">
        <v>42</v>
      </c>
      <c r="I21" s="1">
        <v>40881</v>
      </c>
    </row>
    <row r="22" spans="1:9" x14ac:dyDescent="0.25">
      <c r="A22" t="s">
        <v>109</v>
      </c>
      <c r="B22" t="s">
        <v>29</v>
      </c>
      <c r="C22" t="s">
        <v>30</v>
      </c>
      <c r="D22" t="s">
        <v>31</v>
      </c>
      <c r="E22">
        <v>80</v>
      </c>
      <c r="F22" t="s">
        <v>13</v>
      </c>
      <c r="G22" t="s">
        <v>14</v>
      </c>
      <c r="H22" t="s">
        <v>32</v>
      </c>
      <c r="I22" t="s">
        <v>131</v>
      </c>
    </row>
    <row r="23" spans="1:9" x14ac:dyDescent="0.25">
      <c r="A23" t="s">
        <v>110</v>
      </c>
      <c r="B23" t="s">
        <v>29</v>
      </c>
      <c r="C23" t="s">
        <v>30</v>
      </c>
      <c r="D23" t="s">
        <v>31</v>
      </c>
      <c r="E23">
        <v>35</v>
      </c>
      <c r="F23" t="s">
        <v>13</v>
      </c>
      <c r="G23" t="s">
        <v>33</v>
      </c>
      <c r="H23" t="s">
        <v>32</v>
      </c>
      <c r="I23" t="s">
        <v>131</v>
      </c>
    </row>
    <row r="24" spans="1:9" x14ac:dyDescent="0.25">
      <c r="A24" t="s">
        <v>110</v>
      </c>
      <c r="B24" t="s">
        <v>34</v>
      </c>
      <c r="C24" t="s">
        <v>35</v>
      </c>
      <c r="D24" t="s">
        <v>36</v>
      </c>
      <c r="E24">
        <v>1000</v>
      </c>
      <c r="F24" t="s">
        <v>13</v>
      </c>
      <c r="G24" t="s">
        <v>14</v>
      </c>
      <c r="H24" t="s">
        <v>37</v>
      </c>
      <c r="I24" s="1">
        <v>40607</v>
      </c>
    </row>
    <row r="25" spans="1:9" x14ac:dyDescent="0.25">
      <c r="A25" t="s">
        <v>111</v>
      </c>
      <c r="B25" t="s">
        <v>49</v>
      </c>
      <c r="C25" t="s">
        <v>50</v>
      </c>
      <c r="D25" t="s">
        <v>51</v>
      </c>
      <c r="E25">
        <v>-20000</v>
      </c>
      <c r="F25" t="s">
        <v>52</v>
      </c>
      <c r="G25" t="s">
        <v>33</v>
      </c>
      <c r="H25" t="s">
        <v>53</v>
      </c>
      <c r="I25" t="s">
        <v>132</v>
      </c>
    </row>
    <row r="26" spans="1:9" x14ac:dyDescent="0.25">
      <c r="A26" t="s">
        <v>112</v>
      </c>
      <c r="B26" t="s">
        <v>49</v>
      </c>
      <c r="C26" t="s">
        <v>50</v>
      </c>
      <c r="D26" t="s">
        <v>51</v>
      </c>
      <c r="E26">
        <v>20000</v>
      </c>
      <c r="F26" t="s">
        <v>52</v>
      </c>
      <c r="G26" t="s">
        <v>14</v>
      </c>
      <c r="H26" t="s">
        <v>53</v>
      </c>
      <c r="I26" t="s">
        <v>133</v>
      </c>
    </row>
    <row r="27" spans="1:9" x14ac:dyDescent="0.25">
      <c r="A27" t="s">
        <v>113</v>
      </c>
      <c r="B27" t="s">
        <v>71</v>
      </c>
      <c r="C27" t="s">
        <v>72</v>
      </c>
      <c r="D27" t="s">
        <v>73</v>
      </c>
      <c r="E27">
        <v>1300</v>
      </c>
      <c r="F27" t="s">
        <v>52</v>
      </c>
      <c r="G27" t="s">
        <v>14</v>
      </c>
      <c r="H27" t="s">
        <v>74</v>
      </c>
      <c r="I27" t="s">
        <v>134</v>
      </c>
    </row>
    <row r="28" spans="1:9" x14ac:dyDescent="0.25">
      <c r="A28" t="s">
        <v>114</v>
      </c>
      <c r="B28" t="s">
        <v>49</v>
      </c>
      <c r="C28" t="s">
        <v>55</v>
      </c>
      <c r="D28" t="s">
        <v>56</v>
      </c>
      <c r="E28">
        <v>20000</v>
      </c>
      <c r="F28" t="s">
        <v>52</v>
      </c>
      <c r="G28" t="s">
        <v>33</v>
      </c>
      <c r="H28" t="s">
        <v>57</v>
      </c>
      <c r="I28" t="s">
        <v>135</v>
      </c>
    </row>
    <row r="29" spans="1:9" x14ac:dyDescent="0.25">
      <c r="A29" t="s">
        <v>115</v>
      </c>
      <c r="B29" t="s">
        <v>76</v>
      </c>
      <c r="C29" t="s">
        <v>35</v>
      </c>
      <c r="D29" t="s">
        <v>77</v>
      </c>
      <c r="E29">
        <v>3000</v>
      </c>
      <c r="F29" t="s">
        <v>13</v>
      </c>
      <c r="G29" t="s">
        <v>14</v>
      </c>
      <c r="H29" t="s">
        <v>78</v>
      </c>
      <c r="I29" t="s">
        <v>136</v>
      </c>
    </row>
    <row r="30" spans="1:9" x14ac:dyDescent="0.25">
      <c r="A30" t="s">
        <v>114</v>
      </c>
      <c r="B30" t="s">
        <v>58</v>
      </c>
      <c r="C30" t="s">
        <v>25</v>
      </c>
      <c r="D30" t="s">
        <v>59</v>
      </c>
      <c r="E30">
        <v>220</v>
      </c>
      <c r="F30" t="s">
        <v>52</v>
      </c>
      <c r="G30" t="s">
        <v>14</v>
      </c>
      <c r="H30" t="s">
        <v>60</v>
      </c>
      <c r="I30" t="s">
        <v>137</v>
      </c>
    </row>
    <row r="31" spans="1:9" x14ac:dyDescent="0.25">
      <c r="A31" t="s">
        <v>115</v>
      </c>
      <c r="B31" t="s">
        <v>58</v>
      </c>
      <c r="C31" t="s">
        <v>25</v>
      </c>
      <c r="D31" t="s">
        <v>61</v>
      </c>
      <c r="E31">
        <v>100</v>
      </c>
      <c r="F31" t="s">
        <v>52</v>
      </c>
      <c r="G31" t="s">
        <v>14</v>
      </c>
      <c r="H31" t="s">
        <v>62</v>
      </c>
      <c r="I31" t="s">
        <v>137</v>
      </c>
    </row>
    <row r="32" spans="1:9" x14ac:dyDescent="0.25">
      <c r="A32" t="s">
        <v>115</v>
      </c>
      <c r="B32" t="s">
        <v>63</v>
      </c>
      <c r="C32" t="s">
        <v>25</v>
      </c>
      <c r="D32" t="s">
        <v>64</v>
      </c>
      <c r="E32">
        <v>6400</v>
      </c>
      <c r="F32" t="s">
        <v>13</v>
      </c>
      <c r="G32" t="s">
        <v>14</v>
      </c>
      <c r="H32" t="s">
        <v>65</v>
      </c>
      <c r="I32" t="s">
        <v>138</v>
      </c>
    </row>
    <row r="33" spans="1:9" x14ac:dyDescent="0.25">
      <c r="A33" t="s">
        <v>116</v>
      </c>
      <c r="B33" t="s">
        <v>81</v>
      </c>
      <c r="C33" t="s">
        <v>82</v>
      </c>
      <c r="D33" t="s">
        <v>83</v>
      </c>
      <c r="E33">
        <v>41</v>
      </c>
      <c r="F33" t="s">
        <v>13</v>
      </c>
      <c r="G33" t="s">
        <v>41</v>
      </c>
      <c r="H33" t="s">
        <v>84</v>
      </c>
      <c r="I33" t="s">
        <v>139</v>
      </c>
    </row>
    <row r="34" spans="1:9" x14ac:dyDescent="0.25">
      <c r="A34" t="s">
        <v>117</v>
      </c>
      <c r="B34" t="s">
        <v>49</v>
      </c>
      <c r="C34" t="s">
        <v>30</v>
      </c>
      <c r="D34" t="s">
        <v>66</v>
      </c>
      <c r="E34">
        <v>100</v>
      </c>
      <c r="F34" t="s">
        <v>52</v>
      </c>
      <c r="G34" t="s">
        <v>14</v>
      </c>
      <c r="H34" t="s">
        <v>53</v>
      </c>
      <c r="I34" t="s">
        <v>140</v>
      </c>
    </row>
    <row r="35" spans="1:9" x14ac:dyDescent="0.25">
      <c r="A35" t="s">
        <v>118</v>
      </c>
      <c r="B35" t="s">
        <v>49</v>
      </c>
      <c r="C35" t="s">
        <v>30</v>
      </c>
      <c r="D35" t="s">
        <v>66</v>
      </c>
      <c r="E35">
        <v>-100</v>
      </c>
      <c r="F35" t="s">
        <v>52</v>
      </c>
      <c r="G35" t="s">
        <v>41</v>
      </c>
      <c r="H35" t="s">
        <v>53</v>
      </c>
      <c r="I35" t="s">
        <v>141</v>
      </c>
    </row>
    <row r="36" spans="1:9" x14ac:dyDescent="0.25">
      <c r="A36" s="1">
        <v>40548</v>
      </c>
      <c r="B36" t="s">
        <v>16</v>
      </c>
      <c r="C36" t="s">
        <v>87</v>
      </c>
      <c r="D36" t="s">
        <v>18</v>
      </c>
      <c r="E36">
        <v>179</v>
      </c>
      <c r="F36" t="s">
        <v>13</v>
      </c>
      <c r="G36" t="s">
        <v>14</v>
      </c>
      <c r="H36" t="s">
        <v>19</v>
      </c>
      <c r="I36" t="s">
        <v>142</v>
      </c>
    </row>
    <row r="37" spans="1:9" x14ac:dyDescent="0.25">
      <c r="A37" s="1">
        <v>40548</v>
      </c>
      <c r="B37" t="s">
        <v>89</v>
      </c>
      <c r="C37" t="s">
        <v>35</v>
      </c>
      <c r="D37" t="s">
        <v>90</v>
      </c>
      <c r="E37">
        <v>220</v>
      </c>
      <c r="F37" t="s">
        <v>13</v>
      </c>
      <c r="G37" t="s">
        <v>14</v>
      </c>
      <c r="H37" t="s">
        <v>91</v>
      </c>
      <c r="I37" t="s">
        <v>143</v>
      </c>
    </row>
    <row r="38" spans="1:9" x14ac:dyDescent="0.25">
      <c r="A38" s="1">
        <v>40668</v>
      </c>
      <c r="B38" t="s">
        <v>24</v>
      </c>
      <c r="C38" t="s">
        <v>25</v>
      </c>
      <c r="D38" t="s">
        <v>26</v>
      </c>
      <c r="E38">
        <v>340</v>
      </c>
      <c r="F38" t="s">
        <v>13</v>
      </c>
      <c r="G38" t="s">
        <v>14</v>
      </c>
      <c r="H38" t="s">
        <v>27</v>
      </c>
      <c r="I38" s="1">
        <v>40668</v>
      </c>
    </row>
    <row r="39" spans="1:9" x14ac:dyDescent="0.25">
      <c r="A39" s="1">
        <v>40729</v>
      </c>
      <c r="B39" t="s">
        <v>92</v>
      </c>
      <c r="C39" t="s">
        <v>93</v>
      </c>
      <c r="D39" t="s">
        <v>94</v>
      </c>
      <c r="E39">
        <v>563</v>
      </c>
      <c r="F39" t="s">
        <v>13</v>
      </c>
      <c r="G39" t="s">
        <v>14</v>
      </c>
      <c r="H39" t="s">
        <v>47</v>
      </c>
      <c r="I39" s="1">
        <v>40729</v>
      </c>
    </row>
    <row r="40" spans="1:9" x14ac:dyDescent="0.25">
      <c r="A40" s="1">
        <v>40729</v>
      </c>
      <c r="B40" t="s">
        <v>95</v>
      </c>
      <c r="C40" t="s">
        <v>35</v>
      </c>
      <c r="D40" t="s">
        <v>96</v>
      </c>
      <c r="E40">
        <v>982</v>
      </c>
      <c r="F40" t="s">
        <v>13</v>
      </c>
      <c r="G40" t="s">
        <v>14</v>
      </c>
      <c r="H40" t="s">
        <v>97</v>
      </c>
      <c r="I40" s="1">
        <v>40700</v>
      </c>
    </row>
    <row r="41" spans="1:9" x14ac:dyDescent="0.25">
      <c r="A41" t="s">
        <v>119</v>
      </c>
      <c r="B41" t="s">
        <v>29</v>
      </c>
      <c r="C41" t="s">
        <v>30</v>
      </c>
      <c r="D41" t="s">
        <v>31</v>
      </c>
      <c r="E41">
        <v>80</v>
      </c>
      <c r="F41" t="s">
        <v>13</v>
      </c>
      <c r="G41" t="s">
        <v>14</v>
      </c>
      <c r="H41" t="s">
        <v>32</v>
      </c>
      <c r="I41" t="s">
        <v>144</v>
      </c>
    </row>
    <row r="42" spans="1:9" x14ac:dyDescent="0.25">
      <c r="A42" t="s">
        <v>119</v>
      </c>
      <c r="B42" t="s">
        <v>29</v>
      </c>
      <c r="C42" t="s">
        <v>30</v>
      </c>
      <c r="D42" t="s">
        <v>31</v>
      </c>
      <c r="E42">
        <v>35</v>
      </c>
      <c r="F42" t="s">
        <v>13</v>
      </c>
      <c r="G42" t="s">
        <v>33</v>
      </c>
      <c r="H42" t="s">
        <v>32</v>
      </c>
      <c r="I42" t="s">
        <v>144</v>
      </c>
    </row>
    <row r="43" spans="1:9" x14ac:dyDescent="0.25">
      <c r="A43" t="s">
        <v>119</v>
      </c>
      <c r="B43" t="s">
        <v>34</v>
      </c>
      <c r="C43" t="s">
        <v>35</v>
      </c>
      <c r="D43" t="s">
        <v>36</v>
      </c>
      <c r="E43">
        <v>1000</v>
      </c>
      <c r="F43" t="s">
        <v>13</v>
      </c>
      <c r="G43" t="s">
        <v>14</v>
      </c>
      <c r="H43" t="s">
        <v>37</v>
      </c>
      <c r="I43" s="1">
        <v>40580</v>
      </c>
    </row>
    <row r="44" spans="1:9" x14ac:dyDescent="0.25">
      <c r="A44" t="s">
        <v>120</v>
      </c>
      <c r="B44" t="s">
        <v>49</v>
      </c>
      <c r="C44" t="s">
        <v>50</v>
      </c>
      <c r="D44" t="s">
        <v>51</v>
      </c>
      <c r="E44">
        <v>-20000</v>
      </c>
      <c r="F44" t="s">
        <v>52</v>
      </c>
      <c r="G44" t="s">
        <v>33</v>
      </c>
      <c r="H44" t="s">
        <v>53</v>
      </c>
      <c r="I44" t="s">
        <v>145</v>
      </c>
    </row>
    <row r="45" spans="1:9" x14ac:dyDescent="0.25">
      <c r="A45" t="s">
        <v>120</v>
      </c>
      <c r="B45" t="s">
        <v>49</v>
      </c>
      <c r="C45" t="s">
        <v>50</v>
      </c>
      <c r="D45" t="s">
        <v>51</v>
      </c>
      <c r="E45">
        <v>20000</v>
      </c>
      <c r="F45" t="s">
        <v>52</v>
      </c>
      <c r="G45" t="s">
        <v>14</v>
      </c>
      <c r="H45" t="s">
        <v>53</v>
      </c>
      <c r="I45" t="s">
        <v>145</v>
      </c>
    </row>
    <row r="46" spans="1:9" x14ac:dyDescent="0.25">
      <c r="A46" t="s">
        <v>121</v>
      </c>
      <c r="B46" t="s">
        <v>49</v>
      </c>
      <c r="C46" t="s">
        <v>55</v>
      </c>
      <c r="D46" t="s">
        <v>56</v>
      </c>
      <c r="E46">
        <v>20000</v>
      </c>
      <c r="F46" t="s">
        <v>52</v>
      </c>
      <c r="G46" t="s">
        <v>33</v>
      </c>
      <c r="H46" t="s">
        <v>57</v>
      </c>
      <c r="I46" t="s">
        <v>146</v>
      </c>
    </row>
    <row r="47" spans="1:9" x14ac:dyDescent="0.25">
      <c r="A47" t="s">
        <v>122</v>
      </c>
      <c r="B47" t="s">
        <v>58</v>
      </c>
      <c r="C47" t="s">
        <v>25</v>
      </c>
      <c r="D47" t="s">
        <v>59</v>
      </c>
      <c r="E47">
        <v>220</v>
      </c>
      <c r="F47" t="s">
        <v>52</v>
      </c>
      <c r="G47" t="s">
        <v>14</v>
      </c>
      <c r="H47" t="s">
        <v>60</v>
      </c>
      <c r="I47" t="s">
        <v>121</v>
      </c>
    </row>
    <row r="48" spans="1:9" x14ac:dyDescent="0.25">
      <c r="A48" t="s">
        <v>121</v>
      </c>
      <c r="B48" t="s">
        <v>58</v>
      </c>
      <c r="C48" t="s">
        <v>25</v>
      </c>
      <c r="D48" t="s">
        <v>61</v>
      </c>
      <c r="E48">
        <v>100</v>
      </c>
      <c r="F48" t="s">
        <v>52</v>
      </c>
      <c r="G48" t="s">
        <v>14</v>
      </c>
      <c r="H48" t="s">
        <v>62</v>
      </c>
      <c r="I48" t="s">
        <v>121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0F394-B97B-4687-9B96-BF889AE001E3}">
  <dimension ref="A3:B6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85546875" bestFit="1" customWidth="1"/>
  </cols>
  <sheetData>
    <row r="3" spans="1:2" x14ac:dyDescent="0.25">
      <c r="A3" s="3" t="s">
        <v>148</v>
      </c>
      <c r="B3" t="s">
        <v>147</v>
      </c>
    </row>
    <row r="4" spans="1:2" x14ac:dyDescent="0.25">
      <c r="A4" s="4" t="s">
        <v>23</v>
      </c>
      <c r="B4" s="2">
        <v>478</v>
      </c>
    </row>
    <row r="5" spans="1:2" x14ac:dyDescent="0.25">
      <c r="A5" s="4" t="s">
        <v>47</v>
      </c>
      <c r="B5" s="2">
        <v>563</v>
      </c>
    </row>
    <row r="6" spans="1:2" x14ac:dyDescent="0.25">
      <c r="A6" s="4" t="s">
        <v>149</v>
      </c>
      <c r="B6" s="2">
        <v>1041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A2FF-7B11-4B82-9791-96411D0A9291}">
  <dimension ref="A1:I8"/>
  <sheetViews>
    <sheetView workbookViewId="0">
      <selection sqref="A1:I8"/>
    </sheetView>
  </sheetViews>
  <sheetFormatPr defaultRowHeight="15" x14ac:dyDescent="0.25"/>
  <cols>
    <col min="1" max="1" width="17.140625" bestFit="1" customWidth="1"/>
    <col min="2" max="2" width="18.140625" bestFit="1" customWidth="1"/>
    <col min="3" max="3" width="13.28515625" bestFit="1" customWidth="1"/>
    <col min="4" max="4" width="23.5703125" bestFit="1" customWidth="1"/>
    <col min="5" max="5" width="10.42578125" bestFit="1" customWidth="1"/>
    <col min="6" max="6" width="11.28515625" bestFit="1" customWidth="1"/>
    <col min="7" max="7" width="12.5703125" bestFit="1" customWidth="1"/>
    <col min="8" max="8" width="15.5703125" bestFit="1" customWidth="1"/>
    <col min="9" max="9" width="15.8554687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>
        <v>40577</v>
      </c>
      <c r="B2" s="2" t="s">
        <v>21</v>
      </c>
      <c r="C2" s="2" t="s">
        <v>150</v>
      </c>
      <c r="D2" s="2" t="s">
        <v>22</v>
      </c>
      <c r="E2" s="2">
        <v>478</v>
      </c>
      <c r="F2" s="2" t="s">
        <v>13</v>
      </c>
      <c r="G2" s="2" t="s">
        <v>14</v>
      </c>
      <c r="H2" s="2" t="s">
        <v>23</v>
      </c>
      <c r="I2" s="1">
        <v>40547</v>
      </c>
    </row>
    <row r="3" spans="1:9" x14ac:dyDescent="0.25">
      <c r="A3" s="1">
        <v>40666</v>
      </c>
      <c r="B3" s="2" t="s">
        <v>24</v>
      </c>
      <c r="C3" s="2" t="s">
        <v>25</v>
      </c>
      <c r="D3" s="2" t="s">
        <v>26</v>
      </c>
      <c r="E3" s="2">
        <v>340</v>
      </c>
      <c r="F3" s="2" t="s">
        <v>13</v>
      </c>
      <c r="G3" s="2" t="s">
        <v>14</v>
      </c>
      <c r="H3" s="2" t="s">
        <v>27</v>
      </c>
      <c r="I3" s="1">
        <v>40666</v>
      </c>
    </row>
    <row r="4" spans="1:9" x14ac:dyDescent="0.25">
      <c r="A4" s="1">
        <v>40547</v>
      </c>
      <c r="B4" s="2" t="s">
        <v>16</v>
      </c>
      <c r="C4" s="2" t="s">
        <v>67</v>
      </c>
      <c r="D4" s="2" t="s">
        <v>18</v>
      </c>
      <c r="E4" s="2">
        <v>179</v>
      </c>
      <c r="F4" s="2" t="s">
        <v>13</v>
      </c>
      <c r="G4" s="2" t="s">
        <v>14</v>
      </c>
      <c r="H4" s="2" t="s">
        <v>19</v>
      </c>
      <c r="I4" s="1">
        <v>40548</v>
      </c>
    </row>
    <row r="5" spans="1:9" x14ac:dyDescent="0.25">
      <c r="A5" s="1">
        <v>40667</v>
      </c>
      <c r="B5" s="2" t="s">
        <v>24</v>
      </c>
      <c r="C5" s="2" t="s">
        <v>25</v>
      </c>
      <c r="D5" s="2" t="s">
        <v>26</v>
      </c>
      <c r="E5" s="2">
        <v>340</v>
      </c>
      <c r="F5" s="2" t="s">
        <v>13</v>
      </c>
      <c r="G5" s="2" t="s">
        <v>14</v>
      </c>
      <c r="H5" s="2" t="s">
        <v>27</v>
      </c>
      <c r="I5" s="1">
        <v>40667</v>
      </c>
    </row>
    <row r="6" spans="1:9" x14ac:dyDescent="0.25">
      <c r="A6" s="1">
        <v>40881</v>
      </c>
      <c r="B6" s="2" t="s">
        <v>38</v>
      </c>
      <c r="C6" s="2" t="s">
        <v>39</v>
      </c>
      <c r="D6" s="2" t="s">
        <v>40</v>
      </c>
      <c r="E6" s="2">
        <v>87</v>
      </c>
      <c r="F6" s="2" t="s">
        <v>13</v>
      </c>
      <c r="G6" s="2" t="s">
        <v>41</v>
      </c>
      <c r="H6" s="2" t="s">
        <v>42</v>
      </c>
      <c r="I6" s="1">
        <v>40881</v>
      </c>
    </row>
    <row r="7" spans="1:9" x14ac:dyDescent="0.25">
      <c r="A7" s="1">
        <v>40668</v>
      </c>
      <c r="B7" s="2" t="s">
        <v>24</v>
      </c>
      <c r="C7" s="2" t="s">
        <v>25</v>
      </c>
      <c r="D7" s="2" t="s">
        <v>26</v>
      </c>
      <c r="E7" s="2">
        <v>340</v>
      </c>
      <c r="F7" s="2" t="s">
        <v>13</v>
      </c>
      <c r="G7" s="2" t="s">
        <v>14</v>
      </c>
      <c r="H7" s="2" t="s">
        <v>27</v>
      </c>
      <c r="I7" s="1">
        <v>40668</v>
      </c>
    </row>
    <row r="8" spans="1:9" x14ac:dyDescent="0.25">
      <c r="A8" s="1">
        <v>40729</v>
      </c>
      <c r="B8" s="2" t="s">
        <v>92</v>
      </c>
      <c r="C8" s="2" t="s">
        <v>93</v>
      </c>
      <c r="D8" s="2" t="s">
        <v>94</v>
      </c>
      <c r="E8" s="2">
        <v>563</v>
      </c>
      <c r="F8" s="2" t="s">
        <v>13</v>
      </c>
      <c r="G8" s="2" t="s">
        <v>14</v>
      </c>
      <c r="H8" s="2" t="s">
        <v>47</v>
      </c>
      <c r="I8" s="1">
        <v>40729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6ABAF9-6EEA-46F4-B3BB-68B83DD078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Raw_Data_Expenses</vt:lpstr>
      <vt:lpstr> Expense (2)</vt:lpstr>
      <vt:lpstr>Pivot_Slicer</vt:lpstr>
      <vt:lpstr>Expenses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919974683691</dc:creator>
  <cp:lastModifiedBy>919974683691</cp:lastModifiedBy>
  <dcterms:created xsi:type="dcterms:W3CDTF">2026-03-22T16:32:40Z</dcterms:created>
  <dcterms:modified xsi:type="dcterms:W3CDTF">2026-03-23T08:26:51Z</dcterms:modified>
</cp:coreProperties>
</file>